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692cfa720e4dfd" /></Relationships>
</file>

<file path=xl/workbook.xml><?xml version="1.0" encoding="utf-8"?>
<x:workbook xmlns:x="http://schemas.openxmlformats.org/spreadsheetml/2006/main">
  <x:sheets>
    <x:sheet xmlns:r="http://schemas.openxmlformats.org/officeDocument/2006/relationships" name="Tong hop" sheetId="1" r:id="Rba05594e07c44eea"/>
    <x:sheet xmlns:r="http://schemas.openxmlformats.org/officeDocument/2006/relationships" name="TCVN" sheetId="2" r:id="R54a3ee99bcb14f3a"/>
    <x:sheet xmlns:r="http://schemas.openxmlformats.org/officeDocument/2006/relationships" name="Cloud" sheetId="3" r:id="R57644f3768414a09"/>
    <x:sheet xmlns:r="http://schemas.openxmlformats.org/officeDocument/2006/relationships" name="Ho so" sheetId="4" r:id="R5e3b96ee3bec4000"/>
    <x:sheet xmlns:r="http://schemas.openxmlformats.org/officeDocument/2006/relationships" name="Kiem thu" sheetId="5" r:id="R91cc9bd51a1047ce"/>
    <x:sheet xmlns:r="http://schemas.openxmlformats.org/officeDocument/2006/relationships" name="BIA" sheetId="6" r:id="R835acbb0b54a4f36"/>
    <x:sheet xmlns:r="http://schemas.openxmlformats.org/officeDocument/2006/relationships" name="Rui ro" sheetId="7" r:id="Rdd5189697def43fa"/>
    <x:sheet xmlns:r="http://schemas.openxmlformats.org/officeDocument/2006/relationships" name="Tai san" sheetId="8" r:id="R7eb51dc72c5546b1"/>
    <x:sheet xmlns:r="http://schemas.openxmlformats.org/officeDocument/2006/relationships" name="Bang chung" sheetId="9" r:id="Rf3cdb1bbf2914497"/>
    <x:sheet xmlns:r="http://schemas.openxmlformats.org/officeDocument/2006/relationships" name="Huong dan" sheetId="10" r:id="R638eadc940d14d3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0"/>
  </x:numFmts>
  <x:fonts count="5">
    <x:font>
      <x:sz val="11"/>
      <x:name val="Carlito"/>
    </x:font>
    <x:font>
      <x:sz val="11"/>
      <x:color rgb="FF203247"/>
      <x:name val="Arial"/>
    </x:font>
    <x:font>
      <x:b/>
      <x:sz val="16"/>
      <x:color rgb="FF203247"/>
      <x:name val="Arial"/>
    </x:font>
    <x:font>
      <x:b/>
      <x:sz val="11"/>
      <x:color rgb="FFFFFFFF"/>
      <x:name val="Arial"/>
    </x:font>
    <x:font>
      <x:b/>
      <x:sz val="11"/>
      <x:color rgb="FF203247"/>
      <x:name val="Arial"/>
    </x:font>
  </x:fonts>
  <x:fills count="5">
    <x:fill>
      <x:patternFill patternType="none"/>
    </x:fill>
    <x:fill>
      <x:patternFill patternType="gray125"/>
    </x:fill>
    <x:fill>
      <x:patternFill patternType="solid">
        <x:fgColor rgb="FF203E59"/>
      </x:patternFill>
    </x:fill>
    <x:fill>
      <x:patternFill patternType="solid">
        <x:fgColor rgb="FFF2F5F8"/>
      </x:patternFill>
    </x:fill>
    <x:fill>
      <x:patternFill patternType="solid">
        <x:fgColor rgb="FFFFF5D6"/>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0" fontId="1" fillId="0" borderId="0" xfId="0" applyNumberFormat="1" applyFont="1" applyFill="1" applyBorder="1"/>
    <x:xf numFmtId="200" fontId="1" fillId="4" borderId="0" xfId="0" applyNumberFormat="1" applyFont="1" applyFill="1" applyBorder="1"/>
    <x:xf numFmtId="0" fontId="1"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1"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1" fillId="2" borderId="0" xfId="0" applyNumberFormat="1" applyFont="1" applyFill="1" applyBorder="1"/>
    <x:xf numFmtId="0" fontId="3" fillId="2" borderId="0" xfId="0" applyNumberFormat="1" applyFont="1" applyFill="1" applyBorder="1"/>
  </x:cellXfs>
  <x:cellStyles count="1">
    <x:cellStyle name="Normal" xfId="0"/>
  </x:cellStyles>
  <x:dxfs count="30">
    <x:dxf>
      <x:fill>
        <x:patternFill patternType="solid">
          <x:bgColor rgb="FFE7F0EB"/>
        </x:patternFill>
      </x:fill>
    </x:dxf>
    <x:dxf>
      <x:fill>
        <x:patternFill patternType="solid">
          <x:bgColor rgb="FFE7F0EB"/>
        </x:patternFill>
      </x:fill>
    </x:dxf>
    <x:dxf>
      <x:fill>
        <x:patternFill patternType="solid">
          <x:bgColor rgb="FFFCE5E3"/>
        </x:patternFill>
      </x:fill>
    </x:dxf>
    <x:dxf>
      <x:fill>
        <x:patternFill patternType="solid">
          <x:bgColor rgb="FFFFF1CF"/>
        </x:patternFill>
      </x:fill>
    </x:dxf>
    <x:dxf>
      <x:fill>
        <x:patternFill patternType="solid">
          <x:bgColor rgb="FFFFF1CF"/>
        </x:patternFill>
      </x:fill>
    </x:dxf>
    <x:dxf>
      <x:fill>
        <x:patternFill patternType="solid">
          <x:bgColor rgb="FFFFF1CF"/>
        </x:patternFill>
      </x:fill>
    </x:dxf>
    <x:dxf>
      <x:fill>
        <x:patternFill patternType="solid">
          <x:bgColor rgb="FFE9ECEF"/>
        </x:patternFill>
      </x:fill>
    </x:dxf>
    <x:dxf>
      <x:font>
        <x:color rgb="FF9C2727"/>
      </x:font>
      <x:fill>
        <x:patternFill patternType="solid">
          <x:bgColor rgb="FFFCE5E3"/>
        </x:patternFill>
      </x:fill>
    </x:dxf>
    <x:dxf>
      <x:fill>
        <x:patternFill patternType="solid">
          <x:bgColor rgb="FFE7F0EB"/>
        </x:patternFill>
      </x:fill>
    </x:dxf>
    <x:dxf>
      <x:fill>
        <x:patternFill patternType="solid">
          <x:bgColor rgb="FFE7F0EB"/>
        </x:patternFill>
      </x:fill>
    </x:dxf>
    <x:dxf>
      <x:fill>
        <x:patternFill patternType="solid">
          <x:bgColor rgb="FFFCE5E3"/>
        </x:patternFill>
      </x:fill>
    </x:dxf>
    <x:dxf>
      <x:fill>
        <x:patternFill patternType="solid">
          <x:bgColor rgb="FFFFF1CF"/>
        </x:patternFill>
      </x:fill>
    </x:dxf>
    <x:dxf>
      <x:fill>
        <x:patternFill patternType="solid">
          <x:bgColor rgb="FFFFF1CF"/>
        </x:patternFill>
      </x:fill>
    </x:dxf>
    <x:dxf>
      <x:fill>
        <x:patternFill patternType="solid">
          <x:bgColor rgb="FFFFF1CF"/>
        </x:patternFill>
      </x:fill>
    </x:dxf>
    <x:dxf>
      <x:fill>
        <x:patternFill patternType="solid">
          <x:bgColor rgb="FFE9ECEF"/>
        </x:patternFill>
      </x:fill>
    </x:dxf>
    <x:dxf>
      <x:font>
        <x:color rgb="FF9C2727"/>
      </x:font>
      <x:fill>
        <x:patternFill patternType="solid">
          <x:bgColor rgb="FFFCE5E3"/>
        </x:patternFill>
      </x:fill>
    </x:dxf>
    <x:dxf>
      <x:fill>
        <x:patternFill patternType="solid">
          <x:bgColor rgb="FFE7F0EB"/>
        </x:patternFill>
      </x:fill>
    </x:dxf>
    <x:dxf>
      <x:fill>
        <x:patternFill patternType="solid">
          <x:bgColor rgb="FFE7F0EB"/>
        </x:patternFill>
      </x:fill>
    </x:dxf>
    <x:dxf>
      <x:fill>
        <x:patternFill patternType="solid">
          <x:bgColor rgb="FFFCE5E3"/>
        </x:patternFill>
      </x:fill>
    </x:dxf>
    <x:dxf>
      <x:fill>
        <x:patternFill patternType="solid">
          <x:bgColor rgb="FFFFF1CF"/>
        </x:patternFill>
      </x:fill>
    </x:dxf>
    <x:dxf>
      <x:fill>
        <x:patternFill patternType="solid">
          <x:bgColor rgb="FFFFF1CF"/>
        </x:patternFill>
      </x:fill>
    </x:dxf>
    <x:dxf>
      <x:fill>
        <x:patternFill patternType="solid">
          <x:bgColor rgb="FFFFF1CF"/>
        </x:patternFill>
      </x:fill>
    </x:dxf>
    <x:dxf>
      <x:fill>
        <x:patternFill patternType="solid">
          <x:bgColor rgb="FFE9ECEF"/>
        </x:patternFill>
      </x:fill>
    </x:dxf>
    <x:dxf>
      <x:fill>
        <x:patternFill patternType="solid">
          <x:bgColor rgb="FFE7F0EB"/>
        </x:patternFill>
      </x:fill>
    </x:dxf>
    <x:dxf>
      <x:fill>
        <x:patternFill patternType="solid">
          <x:bgColor rgb="FFE7F0EB"/>
        </x:patternFill>
      </x:fill>
    </x:dxf>
    <x:dxf>
      <x:fill>
        <x:patternFill patternType="solid">
          <x:bgColor rgb="FFFCE5E3"/>
        </x:patternFill>
      </x:fill>
    </x:dxf>
    <x:dxf>
      <x:fill>
        <x:patternFill patternType="solid">
          <x:bgColor rgb="FFFFF1CF"/>
        </x:patternFill>
      </x:fill>
    </x:dxf>
    <x:dxf>
      <x:fill>
        <x:patternFill patternType="solid">
          <x:bgColor rgb="FFFFF1CF"/>
        </x:patternFill>
      </x:fill>
    </x:dxf>
    <x:dxf>
      <x:fill>
        <x:patternFill patternType="solid">
          <x:bgColor rgb="FFFFF1CF"/>
        </x:patternFill>
      </x:fill>
    </x:dxf>
    <x:dxf>
      <x:fill>
        <x:patternFill patternType="solid">
          <x:bgColor rgb="FFE9EC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819c5f57c24ab6" /><Relationship Type="http://schemas.openxmlformats.org/officeDocument/2006/relationships/theme" Target="/xl/theme/theme1.xml" Id="R75116a4f73094c85" /><Relationship Type="http://schemas.openxmlformats.org/officeDocument/2006/relationships/sharedStrings" Target="/xl/sharedStrings.xml" Id="Rb2b54a42fd594854" /><Relationship Type="http://schemas.openxmlformats.org/officeDocument/2006/relationships/worksheet" Target="/xl/worksheets/sheet1.xml" Id="Rba05594e07c44eea" /><Relationship Type="http://schemas.openxmlformats.org/officeDocument/2006/relationships/worksheet" Target="/xl/worksheets/sheet2.xml" Id="R54a3ee99bcb14f3a" /><Relationship Type="http://schemas.openxmlformats.org/officeDocument/2006/relationships/worksheet" Target="/xl/worksheets/sheet3.xml" Id="R57644f3768414a09" /><Relationship Type="http://schemas.openxmlformats.org/officeDocument/2006/relationships/worksheet" Target="/xl/worksheets/sheet4.xml" Id="R5e3b96ee3bec4000" /><Relationship Type="http://schemas.openxmlformats.org/officeDocument/2006/relationships/worksheet" Target="/xl/worksheets/sheet5.xml" Id="R91cc9bd51a1047ce" /><Relationship Type="http://schemas.openxmlformats.org/officeDocument/2006/relationships/worksheet" Target="/xl/worksheets/sheet6.xml" Id="R835acbb0b54a4f36" /><Relationship Type="http://schemas.openxmlformats.org/officeDocument/2006/relationships/worksheet" Target="/xl/worksheets/sheet7.xml" Id="Rdd5189697def43fa" /><Relationship Type="http://schemas.openxmlformats.org/officeDocument/2006/relationships/worksheet" Target="/xl/worksheets/sheet8.xml" Id="R7eb51dc72c5546b1" /><Relationship Type="http://schemas.openxmlformats.org/officeDocument/2006/relationships/worksheet" Target="/xl/worksheets/sheet9.xml" Id="Rf3cdb1bbf2914497" /><Relationship Type="http://schemas.openxmlformats.org/officeDocument/2006/relationships/worksheet" Target="/xl/worksheets/sheet10.xml" Id="R638eadc940d14d3f" /></Relationships>
</file>

<file path=xl/tables/table1.xml><?xml version="1.0" encoding="utf-8"?>
<x:table xmlns:x="http://schemas.openxmlformats.org/spreadsheetml/2006/main" id="1" name="TCVNTable" displayName="TCVNTable" ref="A5:S124" headerRowCount="1" totalsRowCount="0" totalsRowShown="0">
  <x:autoFilter ref="A5:S124"/>
  <x:tableColumns count="19">
    <x:tableColumn id="1" name="Mã"/>
    <x:tableColumn id="2" name="Nhóm"/>
    <x:tableColumn id="3" name="Điều khoản và trang"/>
    <x:tableColumn id="4" name="Nội dung cần rà soát"/>
    <x:tableColumn id="5" name="Cách kiểm tra"/>
    <x:tableColumn id="6" name="Bằng chứng cần có"/>
    <x:tableColumn id="7" name="Đầu mối đề xuất"/>
    <x:tableColumn id="8" name="Phạm vi thực tế"/>
    <x:tableColumn id="9" name="Áp dụng"/>
    <x:tableColumn id="10" name="Triển khai"/>
    <x:tableColumn id="11" name="Mã hoặc đường dẫn bằng chứng"/>
    <x:tableColumn id="12" name="Kết quả kiểm tra"/>
    <x:tableColumn id="13" name="Người kiểm tra"/>
    <x:tableColumn id="14" name="Ngày kiểm tra"/>
    <x:tableColumn id="15" name="Thiếu sót và hành động"/>
    <x:tableColumn id="16" name="Người xử lý"/>
    <x:tableColumn id="17" name="Hạn xử lý"/>
    <x:tableColumn id="18" name="Trạng thái tổng hợp"/>
    <x:tableColumn id="19" name="Căn cứ và phê duyệt không áp dụng"/>
  </x:tableColumns>
  <x:tableStyleInfo name="TableStyleMedium2" showFirstColumn="0" showLastColumn="0" showRowStripes="1" showColumnStripes="0"/>
</x:table>
</file>

<file path=xl/tables/table2.xml><?xml version="1.0" encoding="utf-8"?>
<x:table xmlns:x="http://schemas.openxmlformats.org/spreadsheetml/2006/main" id="2" name="CloudTable" displayName="CloudTable" ref="A5:S23" headerRowCount="1" totalsRowCount="0" totalsRowShown="0">
  <x:autoFilter ref="A5:S23"/>
  <x:tableColumns count="19">
    <x:tableColumn id="1" name="Mã"/>
    <x:tableColumn id="2" name="Nhóm"/>
    <x:tableColumn id="3" name="Điều khoản và trang"/>
    <x:tableColumn id="4" name="Nội dung cần rà soát"/>
    <x:tableColumn id="5" name="Cách kiểm tra"/>
    <x:tableColumn id="6" name="Bằng chứng cần có"/>
    <x:tableColumn id="7" name="Đầu mối đề xuất"/>
    <x:tableColumn id="8" name="Phạm vi thực tế"/>
    <x:tableColumn id="9" name="Áp dụng"/>
    <x:tableColumn id="10" name="Triển khai"/>
    <x:tableColumn id="11" name="Mã hoặc đường dẫn bằng chứng"/>
    <x:tableColumn id="12" name="Kết quả kiểm tra"/>
    <x:tableColumn id="13" name="Người kiểm tra"/>
    <x:tableColumn id="14" name="Ngày kiểm tra"/>
    <x:tableColumn id="15" name="Thiếu sót và hành động"/>
    <x:tableColumn id="16" name="Người xử lý"/>
    <x:tableColumn id="17" name="Hạn xử lý"/>
    <x:tableColumn id="18" name="Trạng thái tổng hợp"/>
    <x:tableColumn id="19" name="Căn cứ và phê duyệt không áp dụng"/>
  </x:tableColumns>
  <x:tableStyleInfo name="TableStyleMedium2" showFirstColumn="0" showLastColumn="0" showRowStripes="1" showColumnStripes="0"/>
</x:table>
</file>

<file path=xl/tables/table3.xml><?xml version="1.0" encoding="utf-8"?>
<x:table xmlns:x="http://schemas.openxmlformats.org/spreadsheetml/2006/main" id="3" name="HosoTable" displayName="HosoTable" ref="A5:M23" headerRowCount="1" totalsRowCount="0" totalsRowShown="0">
  <x:autoFilter ref="A5:M23"/>
  <x:tableColumns count="13">
    <x:tableColumn id="1" name="Mã"/>
    <x:tableColumn id="2" name="Tài liệu"/>
    <x:tableColumn id="3" name="Căn cứ"/>
    <x:tableColumn id="4" name="Nội dung phải có"/>
    <x:tableColumn id="5" name="Vị trí dự thảo"/>
    <x:tableColumn id="6" name="Đầu mối"/>
    <x:tableColumn id="7" name="Độ đầy đủ"/>
    <x:tableColumn id="8" name="Bằng chứng bản đã xác nhận"/>
    <x:tableColumn id="9" name="Người xác nhận"/>
    <x:tableColumn id="10" name="Ngày xác nhận"/>
    <x:tableColumn id="11" name="Thiếu sót và hành động"/>
    <x:tableColumn id="12" name="Hạn hoàn thành"/>
    <x:tableColumn id="13" name="Trạng thái"/>
  </x:tableColumns>
  <x:tableStyleInfo name="TableStyleMedium2" showFirstColumn="0" showLastColumn="0" showRowStripes="1" showColumnStripes="0"/>
</x:table>
</file>

<file path=xl/tables/table4.xml><?xml version="1.0" encoding="utf-8"?>
<x:table xmlns:x="http://schemas.openxmlformats.org/spreadsheetml/2006/main" id="4" name="KiemthuTable" displayName="KiemthuTable" ref="A5:O17" headerRowCount="1" totalsRowCount="0" totalsRowShown="0">
  <x:autoFilter ref="A5:O17"/>
  <x:tableColumns count="15">
    <x:tableColumn id="1" name="Mã"/>
    <x:tableColumn id="2" name="Kịch bản"/>
    <x:tableColumn id="3" name="Căn cứ"/>
    <x:tableColumn id="4" name="Đầu mối"/>
    <x:tableColumn id="5" name="Điều kiện trước thử"/>
    <x:tableColumn id="6" name="Các bước"/>
    <x:tableColumn id="7" name="Tiêu chí chấp nhận"/>
    <x:tableColumn id="8" name="Bằng chứng cần lưu"/>
    <x:tableColumn id="9" name="Kết quả thực tế và số đo"/>
    <x:tableColumn id="10" name="Kết luận"/>
    <x:tableColumn id="11" name="Ngày thực hiện"/>
    <x:tableColumn id="12" name="Người xác nhận"/>
    <x:tableColumn id="13" name="Mã hoặc đường dẫn bằng chứng"/>
    <x:tableColumn id="14" name="Phát hiện và retest"/>
    <x:tableColumn id="15" name="Trạng thái"/>
  </x:tableColumns>
  <x:tableStyleInfo name="TableStyleMedium2" showFirstColumn="0" showLastColumn="0" showRowStripes="1" showColumnStripes="0"/>
</x:table>
</file>

<file path=xl/tables/table5.xml><?xml version="1.0" encoding="utf-8"?>
<x:table xmlns:x="http://schemas.openxmlformats.org/spreadsheetml/2006/main" id="5" name="BIATable" displayName="BIATable" ref="A5:O14" headerRowCount="1" totalsRowCount="0" totalsRowShown="0">
  <x:autoFilter ref="A5:O14"/>
  <x:tableColumns count="15">
    <x:tableColumn id="1" name="Mã"/>
    <x:tableColumn id="2" name="Dịch vụ"/>
    <x:tableColumn id="3" name="Phụ thuộc cần xác minh"/>
    <x:tableColumn id="4" name="Đối tượng ảnh hưởng"/>
    <x:tableColumn id="5" name="Chủ dịch vụ"/>
    <x:tableColumn id="6" name="Loại dữ liệu"/>
    <x:tableColumn id="7" name="Tác động công cộng xã hội an ninh"/>
    <x:tableColumn id="8" name="RPO phút"/>
    <x:tableColumn id="9" name="RTO phút"/>
    <x:tableColumn id="10" name="MTD phút"/>
    <x:tableColumn id="11" name="Dung lượng GB"/>
    <x:tableColumn id="12" name="Thay đổi GB giờ"/>
    <x:tableColumn id="13" name="Căn cứ và người phê duyệt"/>
    <x:tableColumn id="14" name="Bằng chứng hoặc hợp đồng"/>
    <x:tableColumn id="15" name="Trạng thái"/>
  </x:tableColumns>
  <x:tableStyleInfo name="TableStyleMedium2" showFirstColumn="0" showLastColumn="0" showRowStripes="1" showColumnStripes="0"/>
</x:table>
</file>

<file path=xl/tables/table6.xml><?xml version="1.0" encoding="utf-8"?>
<x:table xmlns:x="http://schemas.openxmlformats.org/spreadsheetml/2006/main" id="6" name="RuiroTable" displayName="RuiroTable" ref="A5:S15" headerRowCount="1" totalsRowCount="0" totalsRowShown="0">
  <x:autoFilter ref="A5:S15"/>
  <x:tableColumns count="19">
    <x:tableColumn id="1" name="Mã"/>
    <x:tableColumn id="2" name="Kịch bản"/>
    <x:tableColumn id="3" name="Tài sản và dịch vụ"/>
    <x:tableColumn id="4" name="Tác động cần lượng hóa"/>
    <x:tableColumn id="5" name="Kiểm soát dự kiến"/>
    <x:tableColumn id="6" name="Chủ rủi ro"/>
    <x:tableColumn id="7" name="Khả năng 1 đến 5"/>
    <x:tableColumn id="8" name="Tác động 1 đến 5"/>
    <x:tableColumn id="9" name="Điểm ban đầu"/>
    <x:tableColumn id="10" name="Mức nội bộ"/>
    <x:tableColumn id="11" name="Hành động thực tế"/>
    <x:tableColumn id="12" name="Hạn xử lý"/>
    <x:tableColumn id="13" name="Bằng chứng kiểm soát"/>
    <x:tableColumn id="14" name="Khả năng còn lại"/>
    <x:tableColumn id="15" name="Tác động còn lại"/>
    <x:tableColumn id="16" name="Điểm còn lại"/>
    <x:tableColumn id="17" name="Người chấp nhận"/>
    <x:tableColumn id="18" name="Ngày chấp nhận"/>
    <x:tableColumn id="19" name="Trạng thái"/>
  </x:tableColumns>
  <x:tableStyleInfo name="TableStyleMedium2" showFirstColumn="0" showLastColumn="0" showRowStripes="1" showColumnStripes="0"/>
</x:table>
</file>

<file path=xl/tables/table7.xml><?xml version="1.0" encoding="utf-8"?>
<x:table xmlns:x="http://schemas.openxmlformats.org/spreadsheetml/2006/main" id="7" name="TaisanTable" displayName="TaisanTable" ref="A5:O21" headerRowCount="1" totalsRowCount="0" totalsRowShown="0">
  <x:autoFilter ref="A5:O21"/>
  <x:tableColumns count="15">
    <x:tableColumn id="1" name="Mã tài sản"/>
    <x:tableColumn id="2" name="Nhóm cần kiểm kê"/>
    <x:tableColumn id="3" name="Tên tài sản thực tế"/>
    <x:tableColumn id="4" name="Site"/>
    <x:tableColumn id="5" name="Vùng mạng"/>
    <x:tableColumn id="6" name="IP hoặc endpoint"/>
    <x:tableColumn id="7" name="MAC hoặc serial"/>
    <x:tableColumn id="8" name="Phiên bản phần mềm"/>
    <x:tableColumn id="9" name="Chủ sở hữu"/>
    <x:tableColumn id="10" name="Loại dữ liệu"/>
    <x:tableColumn id="11" name="Mức quan trọng"/>
    <x:tableColumn id="12" name="Hạn hỗ trợ"/>
    <x:tableColumn id="13" name="Bằng chứng cấu hình"/>
    <x:tableColumn id="14" name="Tình trạng kiểm kê"/>
    <x:tableColumn id="15" name="Ghi chú"/>
  </x:tableColumns>
  <x:tableStyleInfo name="TableStyleMedium2" showFirstColumn="0" showLastColumn="0" showRowStripes="1" showColumnStripes="0"/>
</x:table>
</file>

<file path=xl/tables/table8.xml><?xml version="1.0" encoding="utf-8"?>
<x:table xmlns:x="http://schemas.openxmlformats.org/spreadsheetml/2006/main" id="8" name="BangchungTable" displayName="BangchungTable" ref="A5:L35" headerRowCount="1" totalsRowCount="0" totalsRowShown="0">
  <x:autoFilter ref="A5:L35"/>
  <x:tableColumns count="12">
    <x:tableColumn id="1" name="Mã bằng chứng"/>
    <x:tableColumn id="2" name="Mã yêu cầu hoặc ca thử"/>
    <x:tableColumn id="3" name="Tên nội dung"/>
    <x:tableColumn id="4" name="Site hoặc phạm vi"/>
    <x:tableColumn id="5" name="Loại bằng chứng"/>
    <x:tableColumn id="6" name="Đường dẫn kho"/>
    <x:tableColumn id="7" name="Phiên bản hoặc SHA256"/>
    <x:tableColumn id="8" name="Ngày thu thập"/>
    <x:tableColumn id="9" name="Người thu thập"/>
    <x:tableColumn id="10" name="Người xác minh"/>
    <x:tableColumn id="11" name="Mức bảo vệ"/>
    <x:tableColumn id="12" name="Tình trạ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ac17dced98475a" /></Relationships>
</file>

<file path=xl/worksheets/_rels/sheet3.xml.rels>&#65279;<?xml version="1.0" encoding="utf-8"?><Relationships xmlns="http://schemas.openxmlformats.org/package/2006/relationships"><Relationship Type="http://schemas.openxmlformats.org/officeDocument/2006/relationships/table" Target="/xl/tables/table2.xml" Id="R5fb520bb5b254a89" /></Relationships>
</file>

<file path=xl/worksheets/_rels/sheet4.xml.rels>&#65279;<?xml version="1.0" encoding="utf-8"?><Relationships xmlns="http://schemas.openxmlformats.org/package/2006/relationships"><Relationship Type="http://schemas.openxmlformats.org/officeDocument/2006/relationships/table" Target="/xl/tables/table3.xml" Id="R3201a8c592ca40d8" /></Relationships>
</file>

<file path=xl/worksheets/_rels/sheet5.xml.rels>&#65279;<?xml version="1.0" encoding="utf-8"?><Relationships xmlns="http://schemas.openxmlformats.org/package/2006/relationships"><Relationship Type="http://schemas.openxmlformats.org/officeDocument/2006/relationships/table" Target="/xl/tables/table4.xml" Id="Rd452a7ff13c14c85" /></Relationships>
</file>

<file path=xl/worksheets/_rels/sheet6.xml.rels>&#65279;<?xml version="1.0" encoding="utf-8"?><Relationships xmlns="http://schemas.openxmlformats.org/package/2006/relationships"><Relationship Type="http://schemas.openxmlformats.org/officeDocument/2006/relationships/table" Target="/xl/tables/table5.xml" Id="Rbc69460bf0884a9d" /></Relationships>
</file>

<file path=xl/worksheets/_rels/sheet7.xml.rels>&#65279;<?xml version="1.0" encoding="utf-8"?><Relationships xmlns="http://schemas.openxmlformats.org/package/2006/relationships"><Relationship Type="http://schemas.openxmlformats.org/officeDocument/2006/relationships/table" Target="/xl/tables/table6.xml" Id="R8e0878ec46cb4cd1" /></Relationships>
</file>

<file path=xl/worksheets/_rels/sheet8.xml.rels>&#65279;<?xml version="1.0" encoding="utf-8"?><Relationships xmlns="http://schemas.openxmlformats.org/package/2006/relationships"><Relationship Type="http://schemas.openxmlformats.org/officeDocument/2006/relationships/table" Target="/xl/tables/table7.xml" Id="R9a0240097b3d4170" /></Relationships>
</file>

<file path=xl/worksheets/_rels/sheet9.xml.rels>&#65279;<?xml version="1.0" encoding="utf-8"?><Relationships xmlns="http://schemas.openxmlformats.org/package/2006/relationships"><Relationship Type="http://schemas.openxmlformats.org/officeDocument/2006/relationships/table" Target="/xl/tables/table8.xml" Id="R789233708e30444f" /></Relationships>
</file>

<file path=xl/worksheets/sheet1.xml><?xml version="1.0" encoding="utf-8"?>
<x:worksheet xmlns:x="http://schemas.openxmlformats.org/spreadsheetml/2006/main">
  <x:sheetPr>
    <x:tabColor rgb="FF203E59"/>
  </x:sheetPr>
  <x:sheetViews>
    <x:sheetView showGridLines="0" workbookViewId="0"/>
  </x:sheetViews>
  <x:sheetFormatPr defaultRowHeight="15"/>
  <x:cols>
    <x:col min="1" max="1" width="35" hidden="0" customWidth="1"/>
    <x:col min="2" max="2" width="21" hidden="0" customWidth="1"/>
    <x:col min="3" max="3" width="21" hidden="0" customWidth="1"/>
    <x:col min="4" max="4" width="26" hidden="0" customWidth="1"/>
    <x:col min="5" max="5" width="18" hidden="0" customWidth="1"/>
    <x:col min="6" max="6" width="18" hidden="0" customWidth="1"/>
    <x:col min="7" max="7" width="18" hidden="0" customWidth="1"/>
    <x:col min="8" max="8" width="18" hidden="0" customWidth="1"/>
  </x:cols>
  <x:sheetData>
    <x:row r="1">
      <x:c r="A1" s="1"/>
      <x:c r="B1" s="1"/>
      <x:c r="C1" s="1"/>
      <x:c r="D1" s="1"/>
      <x:c r="E1" s="1"/>
      <x:c r="F1" s="1"/>
      <x:c r="G1" s="1"/>
      <x:c r="H1" s="1"/>
    </x:row>
    <x:row r="2">
      <x:c r="A2" s="2" t="str">
        <x:v>Tiến độ rà soát XOR SECURE CLOUD</x:v>
      </x:c>
      <x:c r="B2" s="1"/>
      <x:c r="C2" s="1"/>
      <x:c r="D2" s="1"/>
      <x:c r="E2" s="1"/>
      <x:c r="F2" s="1"/>
      <x:c r="G2" s="1"/>
      <x:c r="H2" s="1"/>
    </x:row>
    <x:row r="3">
      <x:c r="A3" s="1" t="str">
        <x:v>Ngày chốt</x:v>
      </x:c>
      <x:c r="B3" s="12" t="n">
        <x:f>'Huong dan'!B4</x:f>
        <x:v>46312</x:v>
      </x:c>
      <x:c r="C3" s="1"/>
      <x:c r="D3" s="1"/>
      <x:c r="E3" s="1"/>
      <x:c r="F3" s="1"/>
      <x:c r="G3" s="1"/>
      <x:c r="H3" s="1"/>
    </x:row>
    <x:row r="4">
      <x:c r="A4" s="1"/>
      <x:c r="B4" s="1"/>
      <x:c r="C4" s="1"/>
      <x:c r="D4" s="1"/>
      <x:c r="E4" s="1"/>
      <x:c r="F4" s="1"/>
      <x:c r="G4" s="1"/>
      <x:c r="H4" s="1"/>
    </x:row>
    <x:row r="5" ht="34" customHeight="1">
      <x:c r="A5" s="19" t="str">
        <x:v>Nhóm theo dõi</x:v>
      </x:c>
      <x:c r="B5" s="19" t="str">
        <x:v>Số mục</x:v>
      </x:c>
      <x:c r="C5" s="19" t="str">
        <x:v>Đủ hồ sơ</x:v>
      </x:c>
      <x:c r="D5" s="19" t="str">
        <x:v>Còn cần xử lý</x:v>
      </x:c>
      <x:c r="E5" s="1"/>
      <x:c r="F5" s="1"/>
      <x:c r="G5" s="1"/>
      <x:c r="H5" s="1"/>
    </x:row>
    <x:row r="6" ht="34" customHeight="1">
      <x:c r="A6" s="1" t="str">
        <x:v>TCVN cấp độ 4</x:v>
      </x:c>
      <x:c r="B6" s="1" t="n">
        <x:f>COUNTA('TCVN'!$A$6:$A$124)</x:f>
        <x:v>119</x:v>
      </x:c>
      <x:c r="C6" s="1" t="n">
        <x:f>COUNTIF('TCVN'!$R$6:$R$124,"Đủ hồ sơ kiểm tra")</x:f>
        <x:v>0</x:v>
      </x:c>
      <x:c r="D6" s="1" t="n">
        <x:f>B6-C6-COUNTIF('TCVN'!$R$6:$R$124,"Không áp dụng đã duyệt")</x:f>
        <x:v>119</x:v>
      </x:c>
      <x:c r="E6" s="1"/>
      <x:c r="F6" s="1"/>
      <x:c r="G6" s="1"/>
      <x:c r="H6" s="1"/>
    </x:row>
    <x:row r="7" ht="34" customHeight="1">
      <x:c r="A7" s="1" t="str">
        <x:v>Cloud bổ sung</x:v>
      </x:c>
      <x:c r="B7" s="1" t="n">
        <x:f>COUNTA('Cloud'!$A$6:$A$23)</x:f>
        <x:v>18</x:v>
      </x:c>
      <x:c r="C7" s="1" t="n">
        <x:f>COUNTIF('Cloud'!$R$6:$R$23,"Đủ hồ sơ kiểm tra")</x:f>
        <x:v>0</x:v>
      </x:c>
      <x:c r="D7" s="1" t="n">
        <x:f>B7-C7-COUNTIF('Cloud'!$R$6:$R$23,"Không áp dụng đã duyệt")</x:f>
        <x:v>18</x:v>
      </x:c>
      <x:c r="E7" s="1"/>
      <x:c r="F7" s="1"/>
      <x:c r="G7" s="1"/>
      <x:c r="H7" s="1"/>
    </x:row>
    <x:row r="8" ht="34" customHeight="1">
      <x:c r="A8" s="1" t="str">
        <x:v>Danh mục hồ sơ</x:v>
      </x:c>
      <x:c r="B8" s="1" t="n">
        <x:f>COUNTA('Ho so'!$A$6:$A$23)</x:f>
        <x:v>18</x:v>
      </x:c>
      <x:c r="C8" s="1" t="n">
        <x:f>COUNTIF('Ho so'!$M$6:$M$23,"Đủ hồ sơ theo khai báo")</x:f>
        <x:v>0</x:v>
      </x:c>
      <x:c r="D8" s="1" t="n">
        <x:f>B8-C8</x:f>
        <x:v>18</x:v>
      </x:c>
      <x:c r="E8" s="1"/>
      <x:c r="F8" s="1"/>
      <x:c r="G8" s="1"/>
      <x:c r="H8" s="1"/>
    </x:row>
    <x:row r="9" ht="34" customHeight="1">
      <x:c r="A9" s="1" t="str">
        <x:v>Kiểm thử</x:v>
      </x:c>
      <x:c r="B9" s="1" t="n">
        <x:f>COUNTA('Kiem thu'!$A$6:$A$17)</x:f>
        <x:v>12</x:v>
      </x:c>
      <x:c r="C9" s="1" t="n">
        <x:f>COUNTIF('Kiem thu'!$O$6:$O$17,"Đủ hồ sơ kiểm tra")</x:f>
        <x:v>0</x:v>
      </x:c>
      <x:c r="D9" s="1" t="n">
        <x:f>B9-C9</x:f>
        <x:v>12</x:v>
      </x:c>
      <x:c r="E9" s="1"/>
      <x:c r="F9" s="1"/>
      <x:c r="G9" s="1"/>
      <x:c r="H9" s="1"/>
    </x:row>
    <x:row r="10">
      <x:c r="A10" s="1"/>
      <x:c r="B10" s="1"/>
      <x:c r="C10" s="1"/>
      <x:c r="D10" s="1"/>
      <x:c r="E10" s="1"/>
      <x:c r="F10" s="1"/>
      <x:c r="G10" s="1"/>
      <x:c r="H10" s="1"/>
    </x:row>
    <x:row r="11">
      <x:c r="A11" s="1"/>
      <x:c r="B11" s="1"/>
      <x:c r="C11" s="1"/>
      <x:c r="D11" s="1"/>
      <x:c r="E11" s="1"/>
      <x:c r="F11" s="1"/>
      <x:c r="G11" s="1"/>
      <x:c r="H11" s="1"/>
    </x:row>
    <x:row r="12" ht="34" customHeight="1">
      <x:c r="A12" s="19" t="str">
        <x:v>Trạng thái chi tiết</x:v>
      </x:c>
      <x:c r="B12" s="19" t="str">
        <x:v>TCVN</x:v>
      </x:c>
      <x:c r="C12" s="19" t="str">
        <x:v>Cloud</x:v>
      </x:c>
      <x:c r="D12" s="1"/>
      <x:c r="E12" s="1"/>
      <x:c r="F12" s="1"/>
      <x:c r="G12" s="1"/>
      <x:c r="H12" s="1"/>
    </x:row>
    <x:row r="13" ht="29" customHeight="1">
      <x:c r="A13" s="1" t="str">
        <x:v>Chưa đủ bằng chứng</x:v>
      </x:c>
      <x:c r="B13" s="1" t="n">
        <x:f>COUNTIF('TCVN'!$R$6:$R$124,A13)</x:f>
        <x:v>119</x:v>
      </x:c>
      <x:c r="C13" s="1" t="n">
        <x:f>COUNTIF('Cloud'!$R$6:$R$23,A13)</x:f>
        <x:v>8</x:v>
      </x:c>
      <x:c r="D13" s="1"/>
      <x:c r="E13" s="1"/>
      <x:c r="F13" s="1"/>
      <x:c r="G13" s="1"/>
      <x:c r="H13" s="1"/>
    </x:row>
    <x:row r="14" ht="29" customHeight="1">
      <x:c r="A14" s="1" t="str">
        <x:v>Cần bổ sung triển khai</x:v>
      </x:c>
      <x:c r="B14" s="1" t="n">
        <x:f>COUNTIF('TCVN'!$R$6:$R$124,A14)</x:f>
        <x:v>0</x:v>
      </x:c>
      <x:c r="C14" s="1" t="n">
        <x:f>COUNTIF('Cloud'!$R$6:$R$23,A14)</x:f>
        <x:v>0</x:v>
      </x:c>
      <x:c r="D14" s="1"/>
      <x:c r="E14" s="1"/>
      <x:c r="F14" s="1"/>
      <x:c r="G14" s="1"/>
      <x:c r="H14" s="1"/>
    </x:row>
    <x:row r="15" ht="29" customHeight="1">
      <x:c r="A15" s="1" t="str">
        <x:v>Thiếu bằng chứng</x:v>
      </x:c>
      <x:c r="B15" s="1" t="n">
        <x:f>COUNTIF('TCVN'!$R$6:$R$124,A15)</x:f>
        <x:v>0</x:v>
      </x:c>
      <x:c r="C15" s="1" t="n">
        <x:f>COUNTIF('Cloud'!$R$6:$R$23,A15)</x:f>
        <x:v>0</x:v>
      </x:c>
      <x:c r="D15" s="1"/>
      <x:c r="E15" s="1"/>
      <x:c r="F15" s="1"/>
      <x:c r="G15" s="1"/>
      <x:c r="H15" s="1"/>
    </x:row>
    <x:row r="16" ht="29" customHeight="1">
      <x:c r="A16" s="1" t="str">
        <x:v>Chưa kiểm tra</x:v>
      </x:c>
      <x:c r="B16" s="1" t="n">
        <x:f>COUNTIF('TCVN'!$R$6:$R$124,A16)</x:f>
        <x:v>0</x:v>
      </x:c>
      <x:c r="C16" s="1" t="n">
        <x:f>COUNTIF('Cloud'!$R$6:$R$23,A16)</x:f>
        <x:v>0</x:v>
      </x:c>
      <x:c r="D16" s="1"/>
      <x:c r="E16" s="1"/>
      <x:c r="F16" s="1"/>
      <x:c r="G16" s="1"/>
      <x:c r="H16" s="1"/>
    </x:row>
    <x:row r="17" ht="29" customHeight="1">
      <x:c r="A17" s="1" t="str">
        <x:v>Cần khắc phục</x:v>
      </x:c>
      <x:c r="B17" s="1" t="n">
        <x:f>COUNTIF('TCVN'!$R$6:$R$124,A17)</x:f>
        <x:v>0</x:v>
      </x:c>
      <x:c r="C17" s="1" t="n">
        <x:f>COUNTIF('Cloud'!$R$6:$R$23,A17)</x:f>
        <x:v>0</x:v>
      </x:c>
      <x:c r="D17" s="1"/>
      <x:c r="E17" s="1"/>
      <x:c r="F17" s="1"/>
      <x:c r="G17" s="1"/>
      <x:c r="H17" s="1"/>
    </x:row>
    <x:row r="18" ht="29" customHeight="1">
      <x:c r="A18" s="1" t="str">
        <x:v>Chờ xác nhận</x:v>
      </x:c>
      <x:c r="B18" s="1" t="n">
        <x:f>COUNTIF('TCVN'!$R$6:$R$124,A18)</x:f>
        <x:v>0</x:v>
      </x:c>
      <x:c r="C18" s="1" t="n">
        <x:f>COUNTIF('Cloud'!$R$6:$R$23,A18)</x:f>
        <x:v>0</x:v>
      </x:c>
      <x:c r="D18" s="1"/>
      <x:c r="E18" s="1"/>
      <x:c r="F18" s="1"/>
      <x:c r="G18" s="1"/>
      <x:c r="H18" s="1"/>
    </x:row>
    <x:row r="19" ht="29" customHeight="1">
      <x:c r="A19" s="1" t="str">
        <x:v>Chưa chốt phạm vi</x:v>
      </x:c>
      <x:c r="B19" s="1" t="n">
        <x:f>COUNTIF('TCVN'!$R$6:$R$124,A19)</x:f>
        <x:v>0</x:v>
      </x:c>
      <x:c r="C19" s="1" t="n">
        <x:f>COUNTIF('Cloud'!$R$6:$R$23,A19)</x:f>
        <x:v>10</x:v>
      </x:c>
      <x:c r="D19" s="1"/>
      <x:c r="E19" s="1"/>
      <x:c r="F19" s="1"/>
      <x:c r="G19" s="1"/>
      <x:c r="H19" s="1"/>
    </x:row>
    <x:row r="20" ht="29" customHeight="1">
      <x:c r="A20" s="1" t="str">
        <x:v>Chờ duyệt không áp dụng</x:v>
      </x:c>
      <x:c r="B20" s="1" t="n">
        <x:f>COUNTIF('TCVN'!$R$6:$R$124,A20)</x:f>
        <x:v>0</x:v>
      </x:c>
      <x:c r="C20" s="1" t="n">
        <x:f>COUNTIF('Cloud'!$R$6:$R$23,A20)</x:f>
        <x:v>0</x:v>
      </x:c>
      <x:c r="D20" s="1"/>
      <x:c r="E20" s="1"/>
      <x:c r="F20" s="1"/>
      <x:c r="G20" s="1"/>
      <x:c r="H20" s="1"/>
    </x:row>
    <x:row r="21" ht="29" customHeight="1">
      <x:c r="A21" s="1" t="str">
        <x:v>Không áp dụng đã duyệt</x:v>
      </x:c>
      <x:c r="B21" s="1" t="n">
        <x:f>COUNTIF('TCVN'!$R$6:$R$124,A21)</x:f>
        <x:v>0</x:v>
      </x:c>
      <x:c r="C21" s="1" t="n">
        <x:f>COUNTIF('Cloud'!$R$6:$R$23,A21)</x:f>
        <x:v>0</x:v>
      </x:c>
      <x:c r="D21" s="1"/>
      <x:c r="E21" s="1"/>
      <x:c r="F21" s="1"/>
      <x:c r="G21" s="1"/>
      <x:c r="H21" s="1"/>
    </x:row>
    <x:row r="22" ht="29" customHeight="1">
      <x:c r="A22" s="1" t="str">
        <x:v>Đủ hồ sơ kiểm tra</x:v>
      </x:c>
      <x:c r="B22" s="1" t="n">
        <x:f>COUNTIF('TCVN'!$R$6:$R$124,A22)</x:f>
        <x:v>0</x:v>
      </x:c>
      <x:c r="C22" s="1" t="n">
        <x:f>COUNTIF('Cloud'!$R$6:$R$23,A22)</x:f>
        <x:v>0</x:v>
      </x:c>
      <x:c r="D22" s="1"/>
      <x:c r="E22" s="1"/>
      <x:c r="F22" s="1"/>
      <x:c r="G22" s="1"/>
      <x:c r="H22" s="1"/>
    </x:row>
    <x:row r="23">
      <x:c r="A23" s="1"/>
      <x:c r="B23" s="1"/>
      <x:c r="C23" s="1"/>
      <x:c r="D23" s="1"/>
      <x:c r="E23" s="1"/>
      <x:c r="F23" s="1"/>
      <x:c r="G23" s="1"/>
      <x:c r="H23" s="1"/>
    </x:row>
    <x:row r="24">
      <x:c r="A24" s="1"/>
      <x:c r="B24" s="1"/>
      <x:c r="C24" s="1"/>
      <x:c r="D24" s="1"/>
      <x:c r="E24" s="1"/>
      <x:c r="F24" s="1"/>
      <x:c r="G24" s="1"/>
      <x:c r="H24" s="1"/>
    </x:row>
    <x:row r="25">
      <x:c r="A25" s="1" t="str">
        <x:v>Bắt đầu tại TCVN và Ho so. Lọc trạng thái còn thiếu, điền người xử lý và hạn. Rà Cloud riêng sau khi chốt phần dự thảo áp dụng.</x:v>
      </x:c>
      <x:c r="B25" s="1"/>
      <x:c r="C25" s="1"/>
      <x:c r="D25" s="1"/>
      <x:c r="E25" s="1"/>
      <x:c r="F25" s="1"/>
      <x:c r="G25" s="1"/>
      <x:c r="H25" s="1"/>
    </x:row>
    <x:row r="26">
      <x:c r="A26" s="1"/>
      <x:c r="B26" s="1"/>
      <x:c r="C26" s="1"/>
      <x:c r="D26" s="1"/>
      <x:c r="E26" s="1"/>
      <x:c r="F26" s="1"/>
      <x:c r="G26" s="1"/>
      <x:c r="H26" s="1"/>
    </x:row>
    <x:row r="27">
      <x:c r="A27" s="1" t="str">
        <x:v>Số “Đủ hồ sơ” phản ánh khai báo đã có bằng chứng và kiểm tra; không phải tỷ lệ đạt chứng nhận hay quyết định phê duyệt cấp độ.</x:v>
      </x:c>
      <x:c r="B27" s="1"/>
      <x:c r="C27" s="1"/>
      <x:c r="D27" s="1"/>
      <x:c r="E27" s="1"/>
      <x:c r="F27" s="1"/>
      <x:c r="G27" s="1"/>
      <x:c r="H27" s="1"/>
    </x:row>
    <x:row r="28">
      <x:c r="A28" s="1"/>
      <x:c r="B28" s="1"/>
      <x:c r="C28" s="1"/>
      <x:c r="D28" s="1"/>
      <x:c r="E28" s="1"/>
      <x:c r="F28" s="1"/>
      <x:c r="G28" s="1"/>
      <x:c r="H28" s="1"/>
    </x:row>
    <x:row r="29">
      <x:c r="A29" s="1"/>
      <x:c r="B29" s="1"/>
      <x:c r="C29" s="1"/>
      <x:c r="D29" s="1"/>
      <x:c r="E29" s="1"/>
      <x:c r="F29" s="1"/>
      <x:c r="G29" s="1"/>
      <x:c r="H29" s="1"/>
    </x:row>
    <x:row r="30">
      <x:c r="A30" s="1"/>
      <x:c r="B30" s="1"/>
      <x:c r="C30" s="1"/>
      <x:c r="D30" s="1"/>
      <x:c r="E30" s="1"/>
      <x:c r="F30" s="1"/>
      <x:c r="G30" s="1"/>
      <x:c r="H30" s="1"/>
    </x:row>
    <x:row r="31">
      <x:c r="A31" s="1"/>
      <x:c r="B31" s="1"/>
      <x:c r="C31" s="1"/>
      <x:c r="D31" s="1"/>
      <x:c r="E31" s="1"/>
      <x:c r="F31" s="1"/>
      <x:c r="G31" s="1"/>
      <x:c r="H31" s="1"/>
    </x:row>
    <x:row r="32">
      <x:c r="A32" s="1"/>
      <x:c r="B32" s="1"/>
      <x:c r="C32" s="1"/>
      <x:c r="D32" s="1"/>
      <x:c r="E32" s="1"/>
      <x:c r="F32" s="1"/>
      <x:c r="G32" s="1"/>
      <x:c r="H32" s="1"/>
    </x:row>
    <x:row r="33">
      <x:c r="A33" s="1"/>
      <x:c r="B33" s="1"/>
      <x:c r="C33" s="1"/>
      <x:c r="D33" s="1"/>
      <x:c r="E33" s="1"/>
      <x:c r="F33" s="1"/>
      <x:c r="G33" s="1"/>
      <x:c r="H33"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3" hidden="0" customWidth="1"/>
    <x:col min="3" max="3" width="29" hidden="0" customWidth="1"/>
    <x:col min="4" max="4" width="53" hidden="0" customWidth="1"/>
    <x:col min="5" max="5" width="46" hidden="0" customWidth="1"/>
    <x:col min="6" max="6" width="40" hidden="0" customWidth="1"/>
    <x:col min="7" max="7" width="24" hidden="0" customWidth="1"/>
    <x:col min="8" max="8" width="31" hidden="0" customWidth="1"/>
    <x:col min="9" max="9" width="18" hidden="0" customWidth="1"/>
    <x:col min="10" max="10" width="22" hidden="0" customWidth="1"/>
    <x:col min="11" max="11" width="36" hidden="0" customWidth="1"/>
    <x:col min="12" max="12" width="22" hidden="0" customWidth="1"/>
    <x:col min="13" max="13" width="23" hidden="0" customWidth="1"/>
    <x:col min="14" max="14" width="18" hidden="0" customWidth="1"/>
    <x:col min="15" max="15" width="42" hidden="0" customWidth="1"/>
    <x:col min="16" max="16" width="22" hidden="0" customWidth="1"/>
    <x:col min="17" max="17" width="18" hidden="0" customWidth="1"/>
    <x:col min="18" max="18" width="30" hidden="0" customWidth="1"/>
    <x:col min="19" max="19" width="40" hidden="0" customWidth="1"/>
  </x:cols>
  <x:sheetData>
    <x:row r="1">
      <x:c r="A1" s="1"/>
      <x:c r="B1" s="1"/>
      <x:c r="C1" s="1"/>
      <x:c r="D1" s="1"/>
      <x:c r="E1" s="1"/>
      <x:c r="F1" s="1"/>
      <x:c r="G1" s="1"/>
      <x:c r="H1" s="1"/>
      <x:c r="I1" s="1"/>
      <x:c r="J1" s="1"/>
      <x:c r="K1" s="1"/>
      <x:c r="L1" s="1"/>
      <x:c r="M1" s="1"/>
      <x:c r="N1" s="1"/>
      <x:c r="O1" s="1"/>
      <x:c r="P1" s="1"/>
      <x:c r="Q1" s="1"/>
      <x:c r="R1" s="1"/>
      <x:c r="S1" s="1"/>
    </x:row>
    <x:row r="2">
      <x:c r="A2" s="2" t="str">
        <x:v>Rà soát yêu cầu TCVN cấp độ 4</x:v>
      </x:c>
      <x:c r="B2" s="1"/>
      <x:c r="C2" s="1"/>
      <x:c r="D2" s="1"/>
      <x:c r="E2" s="1"/>
      <x:c r="F2" s="1"/>
      <x:c r="G2" s="1"/>
      <x:c r="H2" s="1"/>
      <x:c r="I2" s="1"/>
      <x:c r="J2" s="1"/>
      <x:c r="K2" s="1"/>
      <x:c r="L2" s="1"/>
      <x:c r="M2" s="1"/>
      <x:c r="N2" s="1"/>
      <x:c r="O2" s="1"/>
      <x:c r="P2" s="1"/>
      <x:c r="Q2" s="1"/>
      <x:c r="R2" s="1"/>
      <x:c r="S2" s="1"/>
    </x:row>
    <x:row r="3">
      <x:c r="A3" s="1" t="str">
        <x:v>Ô vàng để nhập. Phạm vi “cả hai IDC” chỉ hoàn tất khi bằng chứng bao phủ cả DC và DR. Trạng thái do công thức tính, không phải kết luận chứng nhận.</x:v>
      </x:c>
      <x:c r="B3" s="1"/>
      <x:c r="C3" s="1"/>
      <x:c r="D3" s="1"/>
      <x:c r="E3" s="1"/>
      <x:c r="F3" s="1"/>
      <x:c r="G3" s="1"/>
      <x:c r="H3" s="1"/>
      <x:c r="I3" s="1"/>
      <x:c r="J3" s="1"/>
      <x:c r="K3" s="1"/>
      <x:c r="L3" s="1"/>
      <x:c r="M3" s="1"/>
      <x:c r="N3" s="1"/>
      <x:c r="O3" s="1"/>
      <x:c r="P3" s="1"/>
      <x:c r="Q3" s="1"/>
      <x:c r="R3" s="1"/>
      <x:c r="S3" s="1"/>
    </x:row>
    <x:row r="4">
      <x:c r="A4" s="1"/>
      <x:c r="B4" s="1"/>
      <x:c r="C4" s="1"/>
      <x:c r="D4" s="1"/>
      <x:c r="E4" s="1"/>
      <x:c r="F4" s="1"/>
      <x:c r="G4" s="1"/>
      <x:c r="H4" s="1"/>
      <x:c r="I4" s="1"/>
      <x:c r="J4" s="1"/>
      <x:c r="K4" s="1"/>
      <x:c r="L4" s="1"/>
      <x:c r="M4" s="1"/>
      <x:c r="N4" s="1"/>
      <x:c r="O4" s="1"/>
      <x:c r="P4" s="1"/>
      <x:c r="Q4" s="1"/>
      <x:c r="R4" s="1"/>
      <x:c r="S4" s="1"/>
    </x:row>
    <x:row r="5" ht="40" customHeight="1">
      <x:c r="A5" s="7" t="str">
        <x:v>Mã</x:v>
      </x:c>
      <x:c r="B5" s="7" t="str">
        <x:v>Nhóm</x:v>
      </x:c>
      <x:c r="C5" s="7" t="str">
        <x:v>Điều khoản và trang</x:v>
      </x:c>
      <x:c r="D5" s="7" t="str">
        <x:v>Nội dung cần rà soát</x:v>
      </x:c>
      <x:c r="E5" s="7" t="str">
        <x:v>Cách kiểm tra</x:v>
      </x:c>
      <x:c r="F5" s="7" t="str">
        <x:v>Bằng chứng cần có</x:v>
      </x:c>
      <x:c r="G5" s="7" t="str">
        <x:v>Đầu mối đề xuất</x:v>
      </x:c>
      <x:c r="H5" s="7" t="str">
        <x:v>Phạm vi thực tế</x:v>
      </x:c>
      <x:c r="I5" s="7" t="str">
        <x:v>Áp dụng</x:v>
      </x:c>
      <x:c r="J5" s="7" t="str">
        <x:v>Triển khai</x:v>
      </x:c>
      <x:c r="K5" s="7" t="str">
        <x:v>Mã hoặc đường dẫn bằng chứng</x:v>
      </x:c>
      <x:c r="L5" s="7" t="str">
        <x:v>Kết quả kiểm tra</x:v>
      </x:c>
      <x:c r="M5" s="7" t="str">
        <x:v>Người kiểm tra</x:v>
      </x:c>
      <x:c r="N5" s="7" t="str">
        <x:v>Ngày kiểm tra</x:v>
      </x:c>
      <x:c r="O5" s="7" t="str">
        <x:v>Thiếu sót và hành động</x:v>
      </x:c>
      <x:c r="P5" s="7" t="str">
        <x:v>Người xử lý</x:v>
      </x:c>
      <x:c r="Q5" s="7" t="str">
        <x:v>Hạn xử lý</x:v>
      </x:c>
      <x:c r="R5" s="7" t="str">
        <x:v>Trạng thái tổng hợp</x:v>
      </x:c>
      <x:c r="S5" s="7" t="str">
        <x:v>Căn cứ và phê duyệt không áp dụng</x:v>
      </x:c>
    </x:row>
    <x:row r="6" ht="98" customHeight="1">
      <x:c r="A6" s="8" t="str">
        <x:v>TC-001</x:v>
      </x:c>
      <x:c r="B6" s="8" t="str">
        <x:v>Rủi ro</x:v>
      </x:c>
      <x:c r="C6" s="8" t="str">
        <x:v>TCVN 14423:2026
6.1.2.1 • tr.58</x:v>
      </x:c>
      <x:c r="D6" s="8" t="str">
        <x:v>Quy trình rủi ro
Có quy trình xác định, phân tích, đánh giá, xử lý; rà soát ít nhất hằng năm và khi thay đổi.</x:v>
      </x:c>
      <x:c r="E6" s="8" t="str">
        <x:v>Đối chiếu đủ các bước và ngày rà soát gần nhất.</x:v>
      </x:c>
      <x:c r="F6" s="8" t="str">
        <x:v>Quy trình đã ký; lịch sử sửa đổi; biên bản rà soát.</x:v>
      </x:c>
      <x:c r="G6" s="8" t="str">
        <x:v>GRC và chủ quản</x:v>
      </x:c>
      <x:c r="H6" s="9" t="str">
        <x:v>DC Cầu Giấy và DR Nam Thăng Long</x:v>
      </x:c>
      <x:c r="I6" s="9" t="str">
        <x:v>Có</x:v>
      </x:c>
      <x:c r="J6" s="9" t="str">
        <x:v>Chưa xác minh</x:v>
      </x:c>
      <x:c r="K6" s="9" t="str"/>
      <x:c r="L6" s="9" t="str">
        <x:v>Chưa kiểm tra</x:v>
      </x:c>
      <x:c r="M6" s="9" t="str"/>
      <x:c r="N6" s="10"/>
      <x:c r="O6" s="9" t="str"/>
      <x:c r="P6" s="9" t="str"/>
      <x:c r="Q6" s="10"/>
      <x:c r="R6" s="8" t="str">
        <x:f>IF(I6="Không áp dụng",IF(AND(S6&lt;&gt;"",M6&lt;&gt;"",ISNUMBER(N6)),"Không áp dụng đã duyệt","Chờ duyệt không áp dụng"),IF(I6&lt;&gt;"Có","Chưa chốt phạm vi",IF(J6="Chưa xác minh","Chưa đủ bằng chứng",IF(J6&lt;&gt;"Đầy đủ","Cần bổ sung triển khai",IF(K6="","Thiếu bằng chứng",IF(L6&lt;&gt;"Đạt",IF(L6="Không đạt","Cần khắc phục","Chưa kiểm tra"),IF(OR(M6="",NOT(ISNUMBER(N6))),"Chờ xác nhận","Đủ hồ sơ kiểm tra")))))))</x:f>
        <x:v>Chưa đủ bằng chứng</x:v>
      </x:c>
      <x:c r="S6" s="9" t="str"/>
    </x:row>
    <x:row r="7" ht="98" customHeight="1">
      <x:c r="A7" s="4" t="str">
        <x:v>TC-002</x:v>
      </x:c>
      <x:c r="B7" s="4" t="str">
        <x:v>Rủi ro</x:v>
      </x:c>
      <x:c r="C7" s="4" t="str">
        <x:v>TCVN 14423:2026
6.1.2.2 • tr.58</x:v>
      </x:c>
      <x:c r="D7" s="4" t="str">
        <x:v>Nhận diện rủi ro
Nhận diện cả rủi ro nội bộ và nhà cung cấp ít nhất 1 lần/6 tháng, khi thay đổi liên quan.</x:v>
      </x:c>
      <x:c r="E7" s="4" t="str">
        <x:v>Chọn một thay đổi và kiểm tra có cập nhật rủi ro.</x:v>
      </x:c>
      <x:c r="F7" s="4" t="str">
        <x:v>Sổ rủi ro; đầu vào CVE; đánh giá IDC/ISP.</x:v>
      </x:c>
      <x:c r="G7" s="4" t="str">
        <x:v>GRC và chủ quản</x:v>
      </x:c>
      <x:c r="H7" s="9" t="str">
        <x:v>DC Cầu Giấy và DR Nam Thăng Long</x:v>
      </x:c>
      <x:c r="I7" s="9" t="str">
        <x:v>Có</x:v>
      </x:c>
      <x:c r="J7" s="9" t="str">
        <x:v>Chưa xác minh</x:v>
      </x:c>
      <x:c r="K7" s="9" t="str"/>
      <x:c r="L7" s="9" t="str">
        <x:v>Chưa kiểm tra</x:v>
      </x:c>
      <x:c r="M7" s="9" t="str"/>
      <x:c r="N7" s="10"/>
      <x:c r="O7" s="9" t="str"/>
      <x:c r="P7" s="9" t="str"/>
      <x:c r="Q7" s="10"/>
      <x:c r="R7" s="4" t="str">
        <x:f>IF(I7="Không áp dụng",IF(AND(S7&lt;&gt;"",M7&lt;&gt;"",ISNUMBER(N7)),"Không áp dụng đã duyệt","Chờ duyệt không áp dụng"),IF(I7&lt;&gt;"Có","Chưa chốt phạm vi",IF(J7="Chưa xác minh","Chưa đủ bằng chứng",IF(J7&lt;&gt;"Đầy đủ","Cần bổ sung triển khai",IF(K7="","Thiếu bằng chứng",IF(L7&lt;&gt;"Đạt",IF(L7="Không đạt","Cần khắc phục","Chưa kiểm tra"),IF(OR(M7="",NOT(ISNUMBER(N7))),"Chờ xác nhận","Đủ hồ sơ kiểm tra")))))))</x:f>
        <x:v>Chưa đủ bằng chứng</x:v>
      </x:c>
      <x:c r="S7" s="9" t="str"/>
    </x:row>
    <x:row r="8" ht="98" customHeight="1">
      <x:c r="A8" s="8" t="str">
        <x:v>TC-003</x:v>
      </x:c>
      <x:c r="B8" s="8" t="str">
        <x:v>Rủi ro</x:v>
      </x:c>
      <x:c r="C8" s="8" t="str">
        <x:v>TCVN 14423:2026
6.1.2.3 • tr.58</x:v>
      </x:c>
      <x:c r="D8" s="8" t="str">
        <x:v>Đánh giá tác động
Phân tích khả năng, tác động, quyết định xử lý hoặc chấp nhận; đánh giá lại khi thay đổi.</x:v>
      </x:c>
      <x:c r="E8" s="8" t="str">
        <x:v>Kiểm tra căn cứ chấm điểm và người chấp nhận rủi ro.</x:v>
      </x:c>
      <x:c r="F8" s="8" t="str">
        <x:v>BIA; thang điểm; hồ sơ quyết định của chủ quản.</x:v>
      </x:c>
      <x:c r="G8" s="8" t="str">
        <x:v>GRC và chủ quản</x:v>
      </x:c>
      <x:c r="H8" s="9" t="str">
        <x:v>DC Cầu Giấy và DR Nam Thăng Long</x:v>
      </x:c>
      <x:c r="I8" s="9" t="str">
        <x:v>Có</x:v>
      </x:c>
      <x:c r="J8" s="9" t="str">
        <x:v>Chưa xác minh</x:v>
      </x:c>
      <x:c r="K8" s="9" t="str"/>
      <x:c r="L8" s="9" t="str">
        <x:v>Chưa kiểm tra</x:v>
      </x:c>
      <x:c r="M8" s="9" t="str"/>
      <x:c r="N8" s="10"/>
      <x:c r="O8" s="9" t="str"/>
      <x:c r="P8" s="9" t="str"/>
      <x:c r="Q8" s="10"/>
      <x:c r="R8" s="8" t="str">
        <x:f>IF(I8="Không áp dụng",IF(AND(S8&lt;&gt;"",M8&lt;&gt;"",ISNUMBER(N8)),"Không áp dụng đã duyệt","Chờ duyệt không áp dụng"),IF(I8&lt;&gt;"Có","Chưa chốt phạm vi",IF(J8="Chưa xác minh","Chưa đủ bằng chứng",IF(J8&lt;&gt;"Đầy đủ","Cần bổ sung triển khai",IF(K8="","Thiếu bằng chứng",IF(L8&lt;&gt;"Đạt",IF(L8="Không đạt","Cần khắc phục","Chưa kiểm tra"),IF(OR(M8="",NOT(ISNUMBER(N8))),"Chờ xác nhận","Đủ hồ sơ kiểm tra")))))))</x:f>
        <x:v>Chưa đủ bằng chứng</x:v>
      </x:c>
      <x:c r="S8" s="9" t="str"/>
    </x:row>
    <x:row r="9" ht="98" customHeight="1">
      <x:c r="A9" s="4" t="str">
        <x:v>TC-004</x:v>
      </x:c>
      <x:c r="B9" s="4" t="str">
        <x:v>Rủi ro</x:v>
      </x:c>
      <x:c r="C9" s="4" t="str">
        <x:v>TCVN 14423:2026
6.1.2.4 • tr.58</x:v>
      </x:c>
      <x:c r="D9" s="4" t="str">
        <x:v>Xử lý rủi ro
Có biện pháp, ứng phó rủi ro còn lại; đánh giá hiệu lực ít nhất 1 lần/6 tháng.</x:v>
      </x:c>
      <x:c r="E9" s="4" t="str">
        <x:v>Theo dõi một rủi ro từ phát hiện đến đóng hoặc chấp nhận.</x:v>
      </x:c>
      <x:c r="F9" s="4" t="str">
        <x:v>Kế hoạch xử lý; ticket; kết quả retest; chấp nhận tồn dư.</x:v>
      </x:c>
      <x:c r="G9" s="4" t="str">
        <x:v>GRC và chủ quản</x:v>
      </x:c>
      <x:c r="H9" s="9" t="str">
        <x:v>DC Cầu Giấy và DR Nam Thăng Long</x:v>
      </x:c>
      <x:c r="I9" s="9" t="str">
        <x:v>Có</x:v>
      </x:c>
      <x:c r="J9" s="9" t="str">
        <x:v>Chưa xác minh</x:v>
      </x:c>
      <x:c r="K9" s="9" t="str"/>
      <x:c r="L9" s="9" t="str">
        <x:v>Chưa kiểm tra</x:v>
      </x:c>
      <x:c r="M9" s="9" t="str"/>
      <x:c r="N9" s="10"/>
      <x:c r="O9" s="9" t="str"/>
      <x:c r="P9" s="9" t="str"/>
      <x:c r="Q9" s="10"/>
      <x:c r="R9" s="4" t="str">
        <x:f>IF(I9="Không áp dụng",IF(AND(S9&lt;&gt;"",M9&lt;&gt;"",ISNUMBER(N9)),"Không áp dụng đã duyệt","Chờ duyệt không áp dụng"),IF(I9&lt;&gt;"Có","Chưa chốt phạm vi",IF(J9="Chưa xác minh","Chưa đủ bằng chứng",IF(J9&lt;&gt;"Đầy đủ","Cần bổ sung triển khai",IF(K9="","Thiếu bằng chứng",IF(L9&lt;&gt;"Đạt",IF(L9="Không đạt","Cần khắc phục","Chưa kiểm tra"),IF(OR(M9="",NOT(ISNUMBER(N9))),"Chờ xác nhận","Đủ hồ sơ kiểm tra")))))))</x:f>
        <x:v>Chưa đủ bằng chứng</x:v>
      </x:c>
      <x:c r="S9" s="9" t="str"/>
    </x:row>
    <x:row r="10" ht="98" customHeight="1">
      <x:c r="A10" s="8" t="str">
        <x:v>TC-005</x:v>
      </x:c>
      <x:c r="B10" s="8" t="str">
        <x:v>Rủi ro</x:v>
      </x:c>
      <x:c r="C10" s="8" t="str">
        <x:v>TCVN 14423:2026
6.1.2.5 • tr.59</x:v>
      </x:c>
      <x:c r="D10" s="8" t="str">
        <x:v>Theo dõi rủi ro
Theo dõi thay đổi khả năng, tác động, mức rủi ro, tài sản và biện pháp.</x:v>
      </x:c>
      <x:c r="E10" s="8" t="str">
        <x:v>Đối chiếu rủi ro với tài sản và các thay đổi gần nhất.</x:v>
      </x:c>
      <x:c r="F10" s="8" t="str">
        <x:v>Phiên bản sổ rủi ro; báo cáo định kỳ.</x:v>
      </x:c>
      <x:c r="G10" s="8" t="str">
        <x:v>GRC và chủ quản</x:v>
      </x:c>
      <x:c r="H10" s="9" t="str">
        <x:v>DC Cầu Giấy và DR Nam Thăng Long</x:v>
      </x:c>
      <x:c r="I10" s="9" t="str">
        <x:v>Có</x:v>
      </x:c>
      <x:c r="J10" s="9" t="str">
        <x:v>Chưa xác minh</x:v>
      </x:c>
      <x:c r="K10" s="9" t="str"/>
      <x:c r="L10" s="9" t="str">
        <x:v>Chưa kiểm tra</x:v>
      </x:c>
      <x:c r="M10" s="9" t="str"/>
      <x:c r="N10" s="10"/>
      <x:c r="O10" s="9" t="str"/>
      <x:c r="P10" s="9" t="str"/>
      <x:c r="Q10" s="10"/>
      <x:c r="R10" s="8" t="str">
        <x:f>IF(I10="Không áp dụng",IF(AND(S10&lt;&gt;"",M10&lt;&gt;"",ISNUMBER(N10)),"Không áp dụng đã duyệt","Chờ duyệt không áp dụng"),IF(I10&lt;&gt;"Có","Chưa chốt phạm vi",IF(J10="Chưa xác minh","Chưa đủ bằng chứng",IF(J10&lt;&gt;"Đầy đủ","Cần bổ sung triển khai",IF(K10="","Thiếu bằng chứng",IF(L10&lt;&gt;"Đạt",IF(L10="Không đạt","Cần khắc phục","Chưa kiểm tra"),IF(OR(M10="",NOT(ISNUMBER(N10))),"Chờ xác nhận","Đủ hồ sơ kiểm tra")))))))</x:f>
        <x:v>Chưa đủ bằng chứng</x:v>
      </x:c>
      <x:c r="S10" s="9" t="str"/>
    </x:row>
    <x:row r="11" ht="98" customHeight="1">
      <x:c r="A11" s="4" t="str">
        <x:v>TC-006</x:v>
      </x:c>
      <x:c r="B11" s="4" t="str">
        <x:v>Rủi ro</x:v>
      </x:c>
      <x:c r="C11" s="4" t="str">
        <x:v>TCVN 14423:2026
6.1.2.6 • tr.59</x:v>
      </x:c>
      <x:c r="D11" s="4" t="str">
        <x:v>Thông tin rủi ro
Chia sẻ kết quả và thông báo kịp thời thay đổi quan trọng cho bên liên quan.</x:v>
      </x:c>
      <x:c r="E11" s="4" t="str">
        <x:v>Kiểm tra một rủi ro ảnh hưởng tenant đã được chuyển đúng đầu mối.</x:v>
      </x:c>
      <x:c r="F11" s="4" t="str">
        <x:v>Thông báo; biên bản họp; xác nhận tiếp nhận.</x:v>
      </x:c>
      <x:c r="G11" s="4" t="str">
        <x:v>GRC và chủ quản</x:v>
      </x:c>
      <x:c r="H11" s="9" t="str">
        <x:v>DC Cầu Giấy và DR Nam Thăng Long</x:v>
      </x:c>
      <x:c r="I11" s="9" t="str">
        <x:v>Có</x:v>
      </x:c>
      <x:c r="J11" s="9" t="str">
        <x:v>Chưa xác minh</x:v>
      </x:c>
      <x:c r="K11" s="9" t="str"/>
      <x:c r="L11" s="9" t="str">
        <x:v>Chưa kiểm tra</x:v>
      </x:c>
      <x:c r="M11" s="9" t="str"/>
      <x:c r="N11" s="10"/>
      <x:c r="O11" s="9" t="str"/>
      <x:c r="P11" s="9" t="str"/>
      <x:c r="Q11" s="10"/>
      <x:c r="R11" s="4" t="str">
        <x:f>IF(I11="Không áp dụng",IF(AND(S11&lt;&gt;"",M11&lt;&gt;"",ISNUMBER(N11)),"Không áp dụng đã duyệt","Chờ duyệt không áp dụng"),IF(I11&lt;&gt;"Có","Chưa chốt phạm vi",IF(J11="Chưa xác minh","Chưa đủ bằng chứng",IF(J11&lt;&gt;"Đầy đủ","Cần bổ sung triển khai",IF(K11="","Thiếu bằng chứng",IF(L11&lt;&gt;"Đạt",IF(L11="Không đạt","Cần khắc phục","Chưa kiểm tra"),IF(OR(M11="",NOT(ISNUMBER(N11))),"Chờ xác nhận","Đủ hồ sơ kiểm tra")))))))</x:f>
        <x:v>Chưa đủ bằng chứng</x:v>
      </x:c>
      <x:c r="S11" s="9" t="str"/>
    </x:row>
    <x:row r="12" ht="98" customHeight="1">
      <x:c r="A12" s="8" t="str">
        <x:v>TC-007</x:v>
      </x:c>
      <x:c r="B12" s="8" t="str">
        <x:v>Phần cứng</x:v>
      </x:c>
      <x:c r="C12" s="8" t="str">
        <x:v>TCVN 14423:2026
6.2.1; 6.2.2.1 • tr.59</x:v>
      </x:c>
      <x:c r="D12" s="8" t="str">
        <x:v>Danh mục phần cứng
Kiểm kê toàn bộ tài sản, kể cả bên ngoài kết nối; rà soát ít nhất hằng năm; đủ IP/MAC/serial, vị trí, EOL, mục đích, chủ sở hữu; kiểm tra trước dùng và đăng ký thiết bị di động.</x:v>
      </x:c>
      <x:c r="E12" s="8" t="str">
        <x:v>Chọn tài sản từ rack và từ scan rồi đối chiếu hai chiều với CMDB.</x:v>
      </x:c>
      <x:c r="F12" s="8" t="str">
        <x:v>CMDB; rack map; biên bản bàn giao và kiểm tra; danh sách thiết bị di động.</x:v>
      </x:c>
      <x:c r="G12" s="8" t="str">
        <x:v>Hạ tầng và IT</x:v>
      </x:c>
      <x:c r="H12" s="9" t="str">
        <x:v>DC Cầu Giấy và DR Nam Thăng Long</x:v>
      </x:c>
      <x:c r="I12" s="9" t="str">
        <x:v>Có</x:v>
      </x:c>
      <x:c r="J12" s="9" t="str">
        <x:v>Chưa xác minh</x:v>
      </x:c>
      <x:c r="K12" s="9" t="str"/>
      <x:c r="L12" s="9" t="str">
        <x:v>Chưa kiểm tra</x:v>
      </x:c>
      <x:c r="M12" s="9" t="str"/>
      <x:c r="N12" s="10"/>
      <x:c r="O12" s="9" t="str"/>
      <x:c r="P12" s="9" t="str"/>
      <x:c r="Q12" s="10"/>
      <x:c r="R12" s="8" t="str">
        <x:f>IF(I12="Không áp dụng",IF(AND(S12&lt;&gt;"",M12&lt;&gt;"",ISNUMBER(N12)),"Không áp dụng đã duyệt","Chờ duyệt không áp dụng"),IF(I12&lt;&gt;"Có","Chưa chốt phạm vi",IF(J12="Chưa xác minh","Chưa đủ bằng chứng",IF(J12&lt;&gt;"Đầy đủ","Cần bổ sung triển khai",IF(K12="","Thiếu bằng chứng",IF(L12&lt;&gt;"Đạt",IF(L12="Không đạt","Cần khắc phục","Chưa kiểm tra"),IF(OR(M12="",NOT(ISNUMBER(N12))),"Chờ xác nhận","Đủ hồ sơ kiểm tra")))))))</x:f>
        <x:v>Chưa đủ bằng chứng</x:v>
      </x:c>
      <x:c r="S12" s="9" t="str"/>
    </x:row>
    <x:row r="13" ht="98" customHeight="1">
      <x:c r="A13" s="4" t="str">
        <x:v>TC-008</x:v>
      </x:c>
      <x:c r="B13" s="4" t="str">
        <x:v>Phần cứng</x:v>
      </x:c>
      <x:c r="C13" s="4" t="str">
        <x:v>TCVN 14423:2026
6.2.2.2 • tr.59</x:v>
      </x:c>
      <x:c r="D13" s="4" t="str">
        <x:v>Thiết bị chưa quản lý
Có quy trình phát hiện và xử lý thiết bị trái phép ít nhất hằng quý; loại bỏ, chặn hoặc cách ly theo quyết định.</x:v>
      </x:c>
      <x:c r="E13" s="4" t="str">
        <x:v>Thử một thiết bị kiểm thử chưa đăng ký trên phạm vi được duyệt.</x:v>
      </x:c>
      <x:c r="F13" s="4" t="str">
        <x:v>Quy trình; kết quả phát hiện; ticket cách ly.</x:v>
      </x:c>
      <x:c r="G13" s="4" t="str">
        <x:v>Hạ tầng và IT</x:v>
      </x:c>
      <x:c r="H13" s="9" t="str">
        <x:v>DC Cầu Giấy và DR Nam Thăng Long</x:v>
      </x:c>
      <x:c r="I13" s="9" t="str">
        <x:v>Có</x:v>
      </x:c>
      <x:c r="J13" s="9" t="str">
        <x:v>Chưa xác minh</x:v>
      </x:c>
      <x:c r="K13" s="9" t="str"/>
      <x:c r="L13" s="9" t="str">
        <x:v>Chưa kiểm tra</x:v>
      </x:c>
      <x:c r="M13" s="9" t="str"/>
      <x:c r="N13" s="10"/>
      <x:c r="O13" s="9" t="str"/>
      <x:c r="P13" s="9" t="str"/>
      <x:c r="Q13" s="10"/>
      <x:c r="R13" s="4" t="str">
        <x:f>IF(I13="Không áp dụng",IF(AND(S13&lt;&gt;"",M13&lt;&gt;"",ISNUMBER(N13)),"Không áp dụng đã duyệt","Chờ duyệt không áp dụng"),IF(I13&lt;&gt;"Có","Chưa chốt phạm vi",IF(J13="Chưa xác minh","Chưa đủ bằng chứng",IF(J13&lt;&gt;"Đầy đủ","Cần bổ sung triển khai",IF(K13="","Thiếu bằng chứng",IF(L13&lt;&gt;"Đạt",IF(L13="Không đạt","Cần khắc phục","Chưa kiểm tra"),IF(OR(M13="",NOT(ISNUMBER(N13))),"Chờ xác nhận","Đủ hồ sơ kiểm tra")))))))</x:f>
        <x:v>Chưa đủ bằng chứng</x:v>
      </x:c>
      <x:c r="S13" s="9" t="str"/>
    </x:row>
    <x:row r="14" ht="98" customHeight="1">
      <x:c r="A14" s="8" t="str">
        <x:v>TC-009</x:v>
      </x:c>
      <x:c r="B14" s="8" t="str">
        <x:v>Phần cứng</x:v>
      </x:c>
      <x:c r="C14" s="8" t="str">
        <x:v>TCVN 14423:2026
6.2.2.3 • tr.60</x:v>
      </x:c>
      <x:c r="D14" s="8" t="str">
        <x:v>Rà quét tài sản
Rà quét thiết bị kết nối ít nhất hằng quý và cập nhật danh mục.</x:v>
      </x:c>
      <x:c r="E14" s="8" t="str">
        <x:v>Chọn một tài sản mới và xác minh đã nhập CMDB.</x:v>
      </x:c>
      <x:c r="F14" s="8" t="str">
        <x:v>Báo cáo discovery có ngày; đối soát chênh lệch.</x:v>
      </x:c>
      <x:c r="G14" s="8" t="str">
        <x:v>Hạ tầng và IT</x:v>
      </x:c>
      <x:c r="H14" s="9" t="str">
        <x:v>DC Cầu Giấy và DR Nam Thăng Long</x:v>
      </x:c>
      <x:c r="I14" s="9" t="str">
        <x:v>Có</x:v>
      </x:c>
      <x:c r="J14" s="9" t="str">
        <x:v>Chưa xác minh</x:v>
      </x:c>
      <x:c r="K14" s="9" t="str"/>
      <x:c r="L14" s="9" t="str">
        <x:v>Chưa kiểm tra</x:v>
      </x:c>
      <x:c r="M14" s="9" t="str"/>
      <x:c r="N14" s="10"/>
      <x:c r="O14" s="9" t="str"/>
      <x:c r="P14" s="9" t="str"/>
      <x:c r="Q14" s="10"/>
      <x:c r="R14" s="8" t="str">
        <x:f>IF(I14="Không áp dụng",IF(AND(S14&lt;&gt;"",M14&lt;&gt;"",ISNUMBER(N14)),"Không áp dụng đã duyệt","Chờ duyệt không áp dụng"),IF(I14&lt;&gt;"Có","Chưa chốt phạm vi",IF(J14="Chưa xác minh","Chưa đủ bằng chứng",IF(J14&lt;&gt;"Đầy đủ","Cần bổ sung triển khai",IF(K14="","Thiếu bằng chứng",IF(L14&lt;&gt;"Đạt",IF(L14="Không đạt","Cần khắc phục","Chưa kiểm tra"),IF(OR(M14="",NOT(ISNUMBER(N14))),"Chờ xác nhận","Đủ hồ sơ kiểm tra")))))))</x:f>
        <x:v>Chưa đủ bằng chứng</x:v>
      </x:c>
      <x:c r="S14" s="9" t="str"/>
    </x:row>
    <x:row r="15" ht="98" customHeight="1">
      <x:c r="A15" s="4" t="str">
        <x:v>TC-010</x:v>
      </x:c>
      <x:c r="B15" s="4" t="str">
        <x:v>Phần cứng</x:v>
      </x:c>
      <x:c r="C15" s="4" t="str">
        <x:v>TCVN 14423:2026
6.2.2.4 • tr.60</x:v>
      </x:c>
      <x:c r="D15" s="4" t="str">
        <x:v>DHCP và IPAM
Ghi DHCP hoặc sử dụng IPAM nếu có; rà soát nhật ký ít nhất hằng quý để cập nhật tài sản.</x:v>
      </x:c>
      <x:c r="E15" s="4" t="str">
        <x:v>Đối chiếu lease hoặc cấp IP với tài sản và tenant.</x:v>
      </x:c>
      <x:c r="F15" s="4" t="str">
        <x:v>Cấu hình log; mẫu log; biên bản đối soát.</x:v>
      </x:c>
      <x:c r="G15" s="4" t="str">
        <x:v>Hạ tầng và IT</x:v>
      </x:c>
      <x:c r="H15" s="9" t="str">
        <x:v>DC Cầu Giấy và DR Nam Thăng Long</x:v>
      </x:c>
      <x:c r="I15" s="9" t="str">
        <x:v>Có</x:v>
      </x:c>
      <x:c r="J15" s="9" t="str">
        <x:v>Chưa xác minh</x:v>
      </x:c>
      <x:c r="K15" s="9" t="str"/>
      <x:c r="L15" s="9" t="str">
        <x:v>Chưa kiểm tra</x:v>
      </x:c>
      <x:c r="M15" s="9" t="str"/>
      <x:c r="N15" s="10"/>
      <x:c r="O15" s="9" t="str"/>
      <x:c r="P15" s="9" t="str"/>
      <x:c r="Q15" s="10"/>
      <x:c r="R15" s="4" t="str">
        <x:f>IF(I15="Không áp dụng",IF(AND(S15&lt;&gt;"",M15&lt;&gt;"",ISNUMBER(N15)),"Không áp dụng đã duyệt","Chờ duyệt không áp dụng"),IF(I15&lt;&gt;"Có","Chưa chốt phạm vi",IF(J15="Chưa xác minh","Chưa đủ bằng chứng",IF(J15&lt;&gt;"Đầy đủ","Cần bổ sung triển khai",IF(K15="","Thiếu bằng chứng",IF(L15&lt;&gt;"Đạt",IF(L15="Không đạt","Cần khắc phục","Chưa kiểm tra"),IF(OR(M15="",NOT(ISNUMBER(N15))),"Chờ xác nhận","Đủ hồ sơ kiểm tra")))))))</x:f>
        <x:v>Chưa đủ bằng chứng</x:v>
      </x:c>
      <x:c r="S15" s="9" t="str"/>
    </x:row>
    <x:row r="16" ht="98" customHeight="1">
      <x:c r="A16" s="8" t="str">
        <x:v>TC-011</x:v>
      </x:c>
      <x:c r="B16" s="8" t="str">
        <x:v>Phần cứng</x:v>
      </x:c>
      <x:c r="C16" s="8" t="str">
        <x:v>TCVN 14423:2026
6.2.2.5 • tr.60</x:v>
      </x:c>
      <x:c r="D16" s="8" t="str">
        <x:v>Thanh lý và xóa dữ liệu
Có quy trình thanh lý; xóa sạch dữ liệu khi chuyển giao hoặc đổi mục đích.</x:v>
      </x:c>
      <x:c r="E16" s="8" t="str">
        <x:v>Kiểm tra mẫu tài sản đã thu hồi và kết quả xác minh xóa.</x:v>
      </x:c>
      <x:c r="F16" s="8" t="str">
        <x:v>Phiếu thanh lý; chứng cứ sanitize; biên bản xác nhận.</x:v>
      </x:c>
      <x:c r="G16" s="8" t="str">
        <x:v>Hạ tầng và IT</x:v>
      </x:c>
      <x:c r="H16" s="9" t="str">
        <x:v>DC Cầu Giấy và DR Nam Thăng Long</x:v>
      </x:c>
      <x:c r="I16" s="9" t="str">
        <x:v>Có</x:v>
      </x:c>
      <x:c r="J16" s="9" t="str">
        <x:v>Chưa xác minh</x:v>
      </x:c>
      <x:c r="K16" s="9" t="str"/>
      <x:c r="L16" s="9" t="str">
        <x:v>Chưa kiểm tra</x:v>
      </x:c>
      <x:c r="M16" s="9" t="str"/>
      <x:c r="N16" s="10"/>
      <x:c r="O16" s="9" t="str"/>
      <x:c r="P16" s="9" t="str"/>
      <x:c r="Q16" s="10"/>
      <x:c r="R16" s="8" t="str">
        <x:f>IF(I16="Không áp dụng",IF(AND(S16&lt;&gt;"",M16&lt;&gt;"",ISNUMBER(N16)),"Không áp dụng đã duyệt","Chờ duyệt không áp dụng"),IF(I16&lt;&gt;"Có","Chưa chốt phạm vi",IF(J16="Chưa xác minh","Chưa đủ bằng chứng",IF(J16&lt;&gt;"Đầy đủ","Cần bổ sung triển khai",IF(K16="","Thiếu bằng chứng",IF(L16&lt;&gt;"Đạt",IF(L16="Không đạt","Cần khắc phục","Chưa kiểm tra"),IF(OR(M16="",NOT(ISNUMBER(N16))),"Chờ xác nhận","Đủ hồ sơ kiểm tra")))))))</x:f>
        <x:v>Chưa đủ bằng chứng</x:v>
      </x:c>
      <x:c r="S16" s="9" t="str"/>
    </x:row>
    <x:row r="17" ht="98" customHeight="1">
      <x:c r="A17" s="4" t="str">
        <x:v>TC-012</x:v>
      </x:c>
      <x:c r="B17" s="4" t="str">
        <x:v>Phần mềm</x:v>
      </x:c>
      <x:c r="C17" s="4" t="str">
        <x:v>TCVN 14423:2026
6.3.1; 6.3.2.1 • tr.60</x:v>
      </x:c>
      <x:c r="D17" s="4" t="str">
        <x:v>Danh mục phần mềm
Kiểm kê ít nhất hằng năm; có phiên bản, bản quyền, phạm vi, EOL, người quản lý và phần mềm thực tế cài đặt.</x:v>
      </x:c>
      <x:c r="E17" s="4" t="str">
        <x:v>Đối chiếu một host và một image với danh mục phát hành.</x:v>
      </x:c>
      <x:c r="F17" s="4" t="str">
        <x:v>Danh mục; SBOM; inventory máy chủ; giấy phép.</x:v>
      </x:c>
      <x:c r="G17" s="4" t="str">
        <x:v>Platform và DevSecOps</x:v>
      </x:c>
      <x:c r="H17" s="9" t="str">
        <x:v>DC Cầu Giấy và DR Nam Thăng Long</x:v>
      </x:c>
      <x:c r="I17" s="9" t="str">
        <x:v>Có</x:v>
      </x:c>
      <x:c r="J17" s="9" t="str">
        <x:v>Chưa xác minh</x:v>
      </x:c>
      <x:c r="K17" s="9" t="str"/>
      <x:c r="L17" s="9" t="str">
        <x:v>Chưa kiểm tra</x:v>
      </x:c>
      <x:c r="M17" s="9" t="str"/>
      <x:c r="N17" s="10"/>
      <x:c r="O17" s="9" t="str"/>
      <x:c r="P17" s="9" t="str"/>
      <x:c r="Q17" s="10"/>
      <x:c r="R17" s="4" t="str">
        <x:f>IF(I17="Không áp dụng",IF(AND(S17&lt;&gt;"",M17&lt;&gt;"",ISNUMBER(N17)),"Không áp dụng đã duyệt","Chờ duyệt không áp dụng"),IF(I17&lt;&gt;"Có","Chưa chốt phạm vi",IF(J17="Chưa xác minh","Chưa đủ bằng chứng",IF(J17&lt;&gt;"Đầy đủ","Cần bổ sung triển khai",IF(K17="","Thiếu bằng chứng",IF(L17&lt;&gt;"Đạt",IF(L17="Không đạt","Cần khắc phục","Chưa kiểm tra"),IF(OR(M17="",NOT(ISNUMBER(N17))),"Chờ xác nhận","Đủ hồ sơ kiểm tra")))))))</x:f>
        <x:v>Chưa đủ bằng chứng</x:v>
      </x:c>
      <x:c r="S17" s="9" t="str"/>
    </x:row>
    <x:row r="18" ht="98" customHeight="1">
      <x:c r="A18" s="8" t="str">
        <x:v>TC-013</x:v>
      </x:c>
      <x:c r="B18" s="8" t="str">
        <x:v>Phần mềm</x:v>
      </x:c>
      <x:c r="C18" s="8" t="str">
        <x:v>TCVN 14423:2026
6.3.2.2 • tr.60–61</x:v>
      </x:c>
      <x:c r="D18" s="8" t="str">
        <x:v>Phần mềm được phép
Danh sách được duyệt bao gồm runtime và dịch vụ nhà cung cấp; kiểm soát cài/gỡ/thực thi trái phép; rà soát ít nhất hằng năm hoặc khi thay đổi.</x:v>
      </x:c>
      <x:c r="E18" s="8" t="str">
        <x:v>Thử chặn gói/image không được duyệt trong môi trường thử nghiệm.</x:v>
      </x:c>
      <x:c r="F18" s="8" t="str">
        <x:v>Allowlist; quyền repository; log cài đặt; phê duyệt ngoại lệ.</x:v>
      </x:c>
      <x:c r="G18" s="8" t="str">
        <x:v>Platform và DevSecOps</x:v>
      </x:c>
      <x:c r="H18" s="9" t="str">
        <x:v>DC Cầu Giấy và DR Nam Thăng Long</x:v>
      </x:c>
      <x:c r="I18" s="9" t="str">
        <x:v>Có</x:v>
      </x:c>
      <x:c r="J18" s="9" t="str">
        <x:v>Chưa xác minh</x:v>
      </x:c>
      <x:c r="K18" s="9" t="str"/>
      <x:c r="L18" s="9" t="str">
        <x:v>Chưa kiểm tra</x:v>
      </x:c>
      <x:c r="M18" s="9" t="str"/>
      <x:c r="N18" s="10"/>
      <x:c r="O18" s="9" t="str"/>
      <x:c r="P18" s="9" t="str"/>
      <x:c r="Q18" s="10"/>
      <x:c r="R18" s="8" t="str">
        <x:f>IF(I18="Không áp dụng",IF(AND(S18&lt;&gt;"",M18&lt;&gt;"",ISNUMBER(N18)),"Không áp dụng đã duyệt","Chờ duyệt không áp dụng"),IF(I18&lt;&gt;"Có","Chưa chốt phạm vi",IF(J18="Chưa xác minh","Chưa đủ bằng chứng",IF(J18&lt;&gt;"Đầy đủ","Cần bổ sung triển khai",IF(K18="","Thiếu bằng chứng",IF(L18&lt;&gt;"Đạt",IF(L18="Không đạt","Cần khắc phục","Chưa kiểm tra"),IF(OR(M18="",NOT(ISNUMBER(N18))),"Chờ xác nhận","Đủ hồ sơ kiểm tra")))))))</x:f>
        <x:v>Chưa đủ bằng chứng</x:v>
      </x:c>
      <x:c r="S18" s="9" t="str"/>
    </x:row>
    <x:row r="19" ht="98" customHeight="1">
      <x:c r="A19" s="4" t="str">
        <x:v>TC-014</x:v>
      </x:c>
      <x:c r="B19" s="4" t="str">
        <x:v>Phần mềm</x:v>
      </x:c>
      <x:c r="C19" s="4" t="str">
        <x:v>TCVN 14423:2026
6.3.2.3 • tr.61</x:v>
      </x:c>
      <x:c r="D19" s="4" t="str">
        <x:v>Hỗ trợ vòng đời
Rà soát ít nhất hằng năm để phần mềm được phép còn được hỗ trợ.</x:v>
      </x:c>
      <x:c r="E19" s="4" t="str">
        <x:v>Đối chiếu phiên bản đang chạy với thời hạn hỗ trợ thực tế.</x:v>
      </x:c>
      <x:c r="F19" s="4" t="str">
        <x:v>Ma trận EOL; cam kết hỗ trợ; kế hoạch nâng cấp.</x:v>
      </x:c>
      <x:c r="G19" s="4" t="str">
        <x:v>Platform và DevSecOps</x:v>
      </x:c>
      <x:c r="H19" s="9" t="str">
        <x:v>DC Cầu Giấy và DR Nam Thăng Long</x:v>
      </x:c>
      <x:c r="I19" s="9" t="str">
        <x:v>Có</x:v>
      </x:c>
      <x:c r="J19" s="9" t="str">
        <x:v>Chưa xác minh</x:v>
      </x:c>
      <x:c r="K19" s="9" t="str"/>
      <x:c r="L19" s="9" t="str">
        <x:v>Chưa kiểm tra</x:v>
      </x:c>
      <x:c r="M19" s="9" t="str"/>
      <x:c r="N19" s="10"/>
      <x:c r="O19" s="9" t="str"/>
      <x:c r="P19" s="9" t="str"/>
      <x:c r="Q19" s="10"/>
      <x:c r="R19" s="4" t="str">
        <x:f>IF(I19="Không áp dụng",IF(AND(S19&lt;&gt;"",M19&lt;&gt;"",ISNUMBER(N19)),"Không áp dụng đã duyệt","Chờ duyệt không áp dụng"),IF(I19&lt;&gt;"Có","Chưa chốt phạm vi",IF(J19="Chưa xác minh","Chưa đủ bằng chứng",IF(J19&lt;&gt;"Đầy đủ","Cần bổ sung triển khai",IF(K19="","Thiếu bằng chứng",IF(L19&lt;&gt;"Đạt",IF(L19="Không đạt","Cần khắc phục","Chưa kiểm tra"),IF(OR(M19="",NOT(ISNUMBER(N19))),"Chờ xác nhận","Đủ hồ sơ kiểm tra")))))))</x:f>
        <x:v>Chưa đủ bằng chứng</x:v>
      </x:c>
      <x:c r="S19" s="9" t="str"/>
    </x:row>
    <x:row r="20" ht="98" customHeight="1">
      <x:c r="A20" s="8" t="str">
        <x:v>TC-015</x:v>
      </x:c>
      <x:c r="B20" s="8" t="str">
        <x:v>Phần mềm</x:v>
      </x:c>
      <x:c r="C20" s="8" t="str">
        <x:v>TCVN 14423:2026
6.3.2.4 • tr.61</x:v>
      </x:c>
      <x:c r="D20" s="8" t="str">
        <x:v>Phần mềm trái phép
Phát hiện và xử lý ít nhất 1 lần/6 tháng; ngoại lệ có biện pháp giảm rủi ro; gỡ phần mềm không được chấp thuận.</x:v>
      </x:c>
      <x:c r="E20" s="8" t="str">
        <x:v>Chọn một sai lệch và kiểm tra xử lý hoặc phê duyệt ngoại lệ.</x:v>
      </x:c>
      <x:c r="F20" s="8" t="str">
        <x:v>Báo cáo đối soát; sổ ngoại lệ; ticket gỡ.</x:v>
      </x:c>
      <x:c r="G20" s="8" t="str">
        <x:v>Platform và DevSecOps</x:v>
      </x:c>
      <x:c r="H20" s="9" t="str">
        <x:v>DC Cầu Giấy và DR Nam Thăng Long</x:v>
      </x:c>
      <x:c r="I20" s="9" t="str">
        <x:v>Có</x:v>
      </x:c>
      <x:c r="J20" s="9" t="str">
        <x:v>Chưa xác minh</x:v>
      </x:c>
      <x:c r="K20" s="9" t="str"/>
      <x:c r="L20" s="9" t="str">
        <x:v>Chưa kiểm tra</x:v>
      </x:c>
      <x:c r="M20" s="9" t="str"/>
      <x:c r="N20" s="10"/>
      <x:c r="O20" s="9" t="str"/>
      <x:c r="P20" s="9" t="str"/>
      <x:c r="Q20" s="10"/>
      <x:c r="R20" s="8" t="str">
        <x:f>IF(I20="Không áp dụng",IF(AND(S20&lt;&gt;"",M20&lt;&gt;"",ISNUMBER(N20)),"Không áp dụng đã duyệt","Chờ duyệt không áp dụng"),IF(I20&lt;&gt;"Có","Chưa chốt phạm vi",IF(J20="Chưa xác minh","Chưa đủ bằng chứng",IF(J20&lt;&gt;"Đầy đủ","Cần bổ sung triển khai",IF(K20="","Thiếu bằng chứng",IF(L20&lt;&gt;"Đạt",IF(L20="Không đạt","Cần khắc phục","Chưa kiểm tra"),IF(OR(M20="",NOT(ISNUMBER(N20))),"Chờ xác nhận","Đủ hồ sơ kiểm tra")))))))</x:f>
        <x:v>Chưa đủ bằng chứng</x:v>
      </x:c>
      <x:c r="S20" s="9" t="str"/>
    </x:row>
    <x:row r="21" ht="98" customHeight="1">
      <x:c r="A21" s="4" t="str">
        <x:v>TC-016</x:v>
      </x:c>
      <x:c r="B21" s="4" t="str">
        <x:v>Dữ liệu</x:v>
      </x:c>
      <x:c r="C21" s="4" t="str">
        <x:v>TCVN 14423:2026
6.4.2.1 • tr.61–62</x:v>
      </x:c>
      <x:c r="D21" s="4" t="str">
        <x:v>Quy định quản lý dữ liệu
Quy định phân loại, chủ sở hữu, xử lý, lưu giữ, hủy và thay đổi dữ liệu; kiểm tra phân quyền ít nhất hằng quý; rà soát quy định hằng năm/khi thay đổi.</x:v>
      </x:c>
      <x:c r="E21" s="4" t="str">
        <x:v>Kiểm tra dữ liệu nhạy cảm có người sở hữu và quy tắc xử lý.</x:v>
      </x:c>
      <x:c r="F21" s="4" t="str">
        <x:v>Quy định; danh mục phân loại; biên bản rà soát quyền.</x:v>
      </x:c>
      <x:c r="G21" s="4" t="str">
        <x:v>Chủ dữ liệu và bảo mật</x:v>
      </x:c>
      <x:c r="H21" s="9" t="str">
        <x:v>DC Cầu Giấy và DR Nam Thăng Long</x:v>
      </x:c>
      <x:c r="I21" s="9" t="str">
        <x:v>Có</x:v>
      </x:c>
      <x:c r="J21" s="9" t="str">
        <x:v>Chưa xác minh</x:v>
      </x:c>
      <x:c r="K21" s="9" t="str"/>
      <x:c r="L21" s="9" t="str">
        <x:v>Chưa kiểm tra</x:v>
      </x:c>
      <x:c r="M21" s="9" t="str"/>
      <x:c r="N21" s="10"/>
      <x:c r="O21" s="9" t="str"/>
      <x:c r="P21" s="9" t="str"/>
      <x:c r="Q21" s="10"/>
      <x:c r="R21" s="4" t="str">
        <x:f>IF(I21="Không áp dụng",IF(AND(S21&lt;&gt;"",M21&lt;&gt;"",ISNUMBER(N21)),"Không áp dụng đã duyệt","Chờ duyệt không áp dụng"),IF(I21&lt;&gt;"Có","Chưa chốt phạm vi",IF(J21="Chưa xác minh","Chưa đủ bằng chứng",IF(J21&lt;&gt;"Đầy đủ","Cần bổ sung triển khai",IF(K21="","Thiếu bằng chứng",IF(L21&lt;&gt;"Đạt",IF(L21="Không đạt","Cần khắc phục","Chưa kiểm tra"),IF(OR(M21="",NOT(ISNUMBER(N21))),"Chờ xác nhận","Đủ hồ sơ kiểm tra")))))))</x:f>
        <x:v>Chưa đủ bằng chứng</x:v>
      </x:c>
      <x:c r="S21" s="9" t="str"/>
    </x:row>
    <x:row r="22" ht="98" customHeight="1">
      <x:c r="A22" s="8" t="str">
        <x:v>TC-017</x:v>
      </x:c>
      <x:c r="B22" s="8" t="str">
        <x:v>Dữ liệu</x:v>
      </x:c>
      <x:c r="C22" s="8" t="str">
        <x:v>TCVN 14423:2026
6.4.2.2 • tr.62</x:v>
      </x:c>
      <x:c r="D22" s="8" t="str">
        <x:v>Danh mục dữ liệu
Lập và cập nhật danh mục ít nhất hằng năm hoặc khi có thay đổi.</x:v>
      </x:c>
      <x:c r="E22" s="8" t="str">
        <x:v>Chọn một kho lưu trữ và đối chiếu chủ dữ liệu, mức nhạy cảm.</x:v>
      </x:c>
      <x:c r="F22" s="8" t="str">
        <x:v>Danh mục dữ liệu có phiên bản.</x:v>
      </x:c>
      <x:c r="G22" s="8" t="str">
        <x:v>Chủ dữ liệu và bảo mật</x:v>
      </x:c>
      <x:c r="H22" s="9" t="str">
        <x:v>DC Cầu Giấy và DR Nam Thăng Long</x:v>
      </x:c>
      <x:c r="I22" s="9" t="str">
        <x:v>Có</x:v>
      </x:c>
      <x:c r="J22" s="9" t="str">
        <x:v>Chưa xác minh</x:v>
      </x:c>
      <x:c r="K22" s="9" t="str"/>
      <x:c r="L22" s="9" t="str">
        <x:v>Chưa kiểm tra</x:v>
      </x:c>
      <x:c r="M22" s="9" t="str"/>
      <x:c r="N22" s="10"/>
      <x:c r="O22" s="9" t="str"/>
      <x:c r="P22" s="9" t="str"/>
      <x:c r="Q22" s="10"/>
      <x:c r="R22" s="8" t="str">
        <x:f>IF(I22="Không áp dụng",IF(AND(S22&lt;&gt;"",M22&lt;&gt;"",ISNUMBER(N22)),"Không áp dụng đã duyệt","Chờ duyệt không áp dụng"),IF(I22&lt;&gt;"Có","Chưa chốt phạm vi",IF(J22="Chưa xác minh","Chưa đủ bằng chứng",IF(J22&lt;&gt;"Đầy đủ","Cần bổ sung triển khai",IF(K22="","Thiếu bằng chứng",IF(L22&lt;&gt;"Đạt",IF(L22="Không đạt","Cần khắc phục","Chưa kiểm tra"),IF(OR(M22="",NOT(ISNUMBER(N22))),"Chờ xác nhận","Đủ hồ sơ kiểm tra")))))))</x:f>
        <x:v>Chưa đủ bằng chứng</x:v>
      </x:c>
      <x:c r="S22" s="9" t="str"/>
    </x:row>
    <x:row r="23" ht="98" customHeight="1">
      <x:c r="A23" s="4" t="str">
        <x:v>TC-018</x:v>
      </x:c>
      <x:c r="B23" s="4" t="str">
        <x:v>Dữ liệu</x:v>
      </x:c>
      <x:c r="C23" s="4" t="str">
        <x:v>TCVN 14423:2026
6.4.2.3 • tr.62</x:v>
      </x:c>
      <x:c r="D23" s="4" t="str">
        <x:v>Quyền trên dữ liệu
Có danh sách quyền của từng tài khoản/nhóm đối với từng loại dữ liệu.</x:v>
      </x:c>
      <x:c r="E23" s="4" t="str">
        <x:v>Thử quyền đọc/ghi đúng và sai tenant với dữ liệu thử.</x:v>
      </x:c>
      <x:c r="F23" s="4" t="str">
        <x:v>Ma trận quyền; trích cấu hình ACL/RBAC.</x:v>
      </x:c>
      <x:c r="G23" s="4" t="str">
        <x:v>Chủ dữ liệu và bảo mật</x:v>
      </x:c>
      <x:c r="H23" s="9" t="str">
        <x:v>DC Cầu Giấy và DR Nam Thăng Long</x:v>
      </x:c>
      <x:c r="I23" s="9" t="str">
        <x:v>Có</x:v>
      </x:c>
      <x:c r="J23" s="9" t="str">
        <x:v>Chưa xác minh</x:v>
      </x:c>
      <x:c r="K23" s="9" t="str"/>
      <x:c r="L23" s="9" t="str">
        <x:v>Chưa kiểm tra</x:v>
      </x:c>
      <x:c r="M23" s="9" t="str"/>
      <x:c r="N23" s="10"/>
      <x:c r="O23" s="9" t="str"/>
      <x:c r="P23" s="9" t="str"/>
      <x:c r="Q23" s="10"/>
      <x:c r="R23" s="4" t="str">
        <x:f>IF(I23="Không áp dụng",IF(AND(S23&lt;&gt;"",M23&lt;&gt;"",ISNUMBER(N23)),"Không áp dụng đã duyệt","Chờ duyệt không áp dụng"),IF(I23&lt;&gt;"Có","Chưa chốt phạm vi",IF(J23="Chưa xác minh","Chưa đủ bằng chứng",IF(J23&lt;&gt;"Đầy đủ","Cần bổ sung triển khai",IF(K23="","Thiếu bằng chứng",IF(L23&lt;&gt;"Đạt",IF(L23="Không đạt","Cần khắc phục","Chưa kiểm tra"),IF(OR(M23="",NOT(ISNUMBER(N23))),"Chờ xác nhận","Đủ hồ sơ kiểm tra")))))))</x:f>
        <x:v>Chưa đủ bằng chứng</x:v>
      </x:c>
      <x:c r="S23" s="9" t="str"/>
    </x:row>
    <x:row r="24" ht="98" customHeight="1">
      <x:c r="A24" s="8" t="str">
        <x:v>TC-019</x:v>
      </x:c>
      <x:c r="B24" s="8" t="str">
        <x:v>Dữ liệu</x:v>
      </x:c>
      <x:c r="C24" s="8" t="str">
        <x:v>TCVN 14423:2026
6.4.2.4 a • tr.62</x:v>
      </x:c>
      <x:c r="D24" s="8" t="str">
        <x:v>Mã hóa khi lưu
Bảo vệ dữ liệu xác thực, nhạy cảm và quan trọng khi lưu bằng mã hóa hoặc kiểm soát rủi ro tương đương.</x:v>
      </x:c>
      <x:c r="E24" s="8" t="str">
        <x:v>Kiểm tra dữ liệu lưu có được bảo vệ và ai có quyền giải mã.</x:v>
      </x:c>
      <x:c r="F24" s="8" t="str">
        <x:v>Cấu hình; danh mục phạm vi mã hóa; đánh giá tương đương.</x:v>
      </x:c>
      <x:c r="G24" s="8" t="str">
        <x:v>Chủ dữ liệu và bảo mật</x:v>
      </x:c>
      <x:c r="H24" s="9" t="str">
        <x:v>DC Cầu Giấy và DR Nam Thăng Long</x:v>
      </x:c>
      <x:c r="I24" s="9" t="str">
        <x:v>Có</x:v>
      </x:c>
      <x:c r="J24" s="9" t="str">
        <x:v>Chưa xác minh</x:v>
      </x:c>
      <x:c r="K24" s="9" t="str"/>
      <x:c r="L24" s="9" t="str">
        <x:v>Chưa kiểm tra</x:v>
      </x:c>
      <x:c r="M24" s="9" t="str"/>
      <x:c r="N24" s="10"/>
      <x:c r="O24" s="9" t="str"/>
      <x:c r="P24" s="9" t="str"/>
      <x:c r="Q24" s="10"/>
      <x:c r="R24" s="8" t="str">
        <x:f>IF(I24="Không áp dụng",IF(AND(S24&lt;&gt;"",M24&lt;&gt;"",ISNUMBER(N24)),"Không áp dụng đã duyệt","Chờ duyệt không áp dụng"),IF(I24&lt;&gt;"Có","Chưa chốt phạm vi",IF(J24="Chưa xác minh","Chưa đủ bằng chứng",IF(J24&lt;&gt;"Đầy đủ","Cần bổ sung triển khai",IF(K24="","Thiếu bằng chứng",IF(L24&lt;&gt;"Đạt",IF(L24="Không đạt","Cần khắc phục","Chưa kiểm tra"),IF(OR(M24="",NOT(ISNUMBER(N24))),"Chờ xác nhận","Đủ hồ sơ kiểm tra")))))))</x:f>
        <x:v>Chưa đủ bằng chứng</x:v>
      </x:c>
      <x:c r="S24" s="9" t="str"/>
    </x:row>
    <x:row r="25" ht="98" customHeight="1">
      <x:c r="A25" s="4" t="str">
        <x:v>TC-020</x:v>
      </x:c>
      <x:c r="B25" s="4" t="str">
        <x:v>Dữ liệu</x:v>
      </x:c>
      <x:c r="C25" s="4" t="str">
        <x:v>TCVN 14423:2026
6.4.2.4 b c • tr.62</x:v>
      </x:c>
      <x:c r="D25" s="4" t="str">
        <x:v>Mã hóa khi truyền
Bảo vệ dữ liệu quan trọng khi truyền; tối thiểu hai lần mã hóa hoặc kiểm soát rủi ro tương đương theo điều khoản.</x:v>
      </x:c>
      <x:c r="E25" s="4" t="str">
        <x:v>Kiểm tra đồng thời hai lớp tại cùng đoạn truyền; không tính TLS kết thúc rồi tái mã hóa là hai lớp đồng thời.</x:v>
      </x:c>
      <x:c r="F25" s="4" t="str">
        <x:v>Ma trận luồng; cấu hình TLS/IPsec; hồ sơ tương đương.</x:v>
      </x:c>
      <x:c r="G25" s="4" t="str">
        <x:v>Chủ dữ liệu và bảo mật</x:v>
      </x:c>
      <x:c r="H25" s="9" t="str">
        <x:v>DC Cầu Giấy và DR Nam Thăng Long</x:v>
      </x:c>
      <x:c r="I25" s="9" t="str">
        <x:v>Có</x:v>
      </x:c>
      <x:c r="J25" s="9" t="str">
        <x:v>Chưa xác minh</x:v>
      </x:c>
      <x:c r="K25" s="9" t="str"/>
      <x:c r="L25" s="9" t="str">
        <x:v>Chưa kiểm tra</x:v>
      </x:c>
      <x:c r="M25" s="9" t="str"/>
      <x:c r="N25" s="10"/>
      <x:c r="O25" s="9" t="str"/>
      <x:c r="P25" s="9" t="str"/>
      <x:c r="Q25" s="10"/>
      <x:c r="R25" s="4" t="str">
        <x:f>IF(I25="Không áp dụng",IF(AND(S25&lt;&gt;"",M25&lt;&gt;"",ISNUMBER(N25)),"Không áp dụng đã duyệt","Chờ duyệt không áp dụng"),IF(I25&lt;&gt;"Có","Chưa chốt phạm vi",IF(J25="Chưa xác minh","Chưa đủ bằng chứng",IF(J25&lt;&gt;"Đầy đủ","Cần bổ sung triển khai",IF(K25="","Thiếu bằng chứng",IF(L25&lt;&gt;"Đạt",IF(L25="Không đạt","Cần khắc phục","Chưa kiểm tra"),IF(OR(M25="",NOT(ISNUMBER(N25))),"Chờ xác nhận","Đủ hồ sơ kiểm tra")))))))</x:f>
        <x:v>Chưa đủ bằng chứng</x:v>
      </x:c>
      <x:c r="S25" s="9" t="str"/>
    </x:row>
    <x:row r="26" ht="98" customHeight="1">
      <x:c r="A26" s="8" t="str">
        <x:v>TC-021</x:v>
      </x:c>
      <x:c r="B26" s="8" t="str">
        <x:v>Dữ liệu</x:v>
      </x:c>
      <x:c r="C26" s="8" t="str">
        <x:v>TCVN 14423:2026
6.4.2.4 d e • tr.62</x:v>
      </x:c>
      <x:c r="D26" s="8" t="str">
        <x:v>Quản lý khóa và thuật toán
Có phương án chuyên dụng bảo vệ khóa và dữ liệu mã hóa; sử dụng mật mã mạnh.</x:v>
      </x:c>
      <x:c r="E26" s="8" t="str">
        <x:v>Thử thu hồi, khôi phục khóa và từ chối quản trị viên không được cấp quyền.</x:v>
      </x:c>
      <x:c r="F26" s="8" t="str">
        <x:v>Chính sách khóa; RBAC; log luân chuyển; danh mục thuật toán.</x:v>
      </x:c>
      <x:c r="G26" s="8" t="str">
        <x:v>Chủ dữ liệu và bảo mật</x:v>
      </x:c>
      <x:c r="H26" s="9" t="str">
        <x:v>DC Cầu Giấy và DR Nam Thăng Long</x:v>
      </x:c>
      <x:c r="I26" s="9" t="str">
        <x:v>Có</x:v>
      </x:c>
      <x:c r="J26" s="9" t="str">
        <x:v>Chưa xác minh</x:v>
      </x:c>
      <x:c r="K26" s="9" t="str"/>
      <x:c r="L26" s="9" t="str">
        <x:v>Chưa kiểm tra</x:v>
      </x:c>
      <x:c r="M26" s="9" t="str"/>
      <x:c r="N26" s="10"/>
      <x:c r="O26" s="9" t="str"/>
      <x:c r="P26" s="9" t="str"/>
      <x:c r="Q26" s="10"/>
      <x:c r="R26" s="8" t="str">
        <x:f>IF(I26="Không áp dụng",IF(AND(S26&lt;&gt;"",M26&lt;&gt;"",ISNUMBER(N26)),"Không áp dụng đã duyệt","Chờ duyệt không áp dụng"),IF(I26&lt;&gt;"Có","Chưa chốt phạm vi",IF(J26="Chưa xác minh","Chưa đủ bằng chứng",IF(J26&lt;&gt;"Đầy đủ","Cần bổ sung triển khai",IF(K26="","Thiếu bằng chứng",IF(L26&lt;&gt;"Đạt",IF(L26="Không đạt","Cần khắc phục","Chưa kiểm tra"),IF(OR(M26="",NOT(ISNUMBER(N26))),"Chờ xác nhận","Đủ hồ sơ kiểm tra")))))))</x:f>
        <x:v>Chưa đủ bằng chứng</x:v>
      </x:c>
      <x:c r="S26" s="9" t="str"/>
    </x:row>
    <x:row r="27" ht="98" customHeight="1">
      <x:c r="A27" s="4" t="str">
        <x:v>TC-022</x:v>
      </x:c>
      <x:c r="B27" s="4" t="str">
        <x:v>Dữ liệu</x:v>
      </x:c>
      <x:c r="C27" s="4" t="str">
        <x:v>TCVN 14423:2026
6.4.2.5 • tr.62</x:v>
      </x:c>
      <x:c r="D27" s="4" t="str">
        <x:v>Toàn vẹn dữ liệu
Có kiểm tra toàn vẹn, cảnh báo sửa đổi và khôi phục dữ liệu quan trọng.</x:v>
      </x:c>
      <x:c r="E27" s="4" t="str">
        <x:v>Sửa dữ liệu thử có kiểm soát và xác minh phát hiện, phục hồi.</x:v>
      </x:c>
      <x:c r="F27" s="4" t="str">
        <x:v>Cấu hình FIM; cảnh báo; biên bản khôi phục.</x:v>
      </x:c>
      <x:c r="G27" s="4" t="str">
        <x:v>Chủ dữ liệu và bảo mật</x:v>
      </x:c>
      <x:c r="H27" s="9" t="str">
        <x:v>DC Cầu Giấy và DR Nam Thăng Long</x:v>
      </x:c>
      <x:c r="I27" s="9" t="str">
        <x:v>Có</x:v>
      </x:c>
      <x:c r="J27" s="9" t="str">
        <x:v>Chưa xác minh</x:v>
      </x:c>
      <x:c r="K27" s="9" t="str"/>
      <x:c r="L27" s="9" t="str">
        <x:v>Chưa kiểm tra</x:v>
      </x:c>
      <x:c r="M27" s="9" t="str"/>
      <x:c r="N27" s="10"/>
      <x:c r="O27" s="9" t="str"/>
      <x:c r="P27" s="9" t="str"/>
      <x:c r="Q27" s="10"/>
      <x:c r="R27" s="4" t="str">
        <x:f>IF(I27="Không áp dụng",IF(AND(S27&lt;&gt;"",M27&lt;&gt;"",ISNUMBER(N27)),"Không áp dụng đã duyệt","Chờ duyệt không áp dụng"),IF(I27&lt;&gt;"Có","Chưa chốt phạm vi",IF(J27="Chưa xác minh","Chưa đủ bằng chứng",IF(J27&lt;&gt;"Đầy đủ","Cần bổ sung triển khai",IF(K27="","Thiếu bằng chứng",IF(L27&lt;&gt;"Đạt",IF(L27="Không đạt","Cần khắc phục","Chưa kiểm tra"),IF(OR(M27="",NOT(ISNUMBER(N27))),"Chờ xác nhận","Đủ hồ sơ kiểm tra")))))))</x:f>
        <x:v>Chưa đủ bằng chứng</x:v>
      </x:c>
      <x:c r="S27" s="9" t="str"/>
    </x:row>
    <x:row r="28" ht="98" customHeight="1">
      <x:c r="A28" s="8" t="str">
        <x:v>TC-023</x:v>
      </x:c>
      <x:c r="B28" s="8" t="str">
        <x:v>Dữ liệu</x:v>
      </x:c>
      <x:c r="C28" s="8" t="str">
        <x:v>TCVN 14423:2026
6.4.2.6 • tr.62</x:v>
      </x:c>
      <x:c r="D28" s="8" t="str">
        <x:v>Luồng dữ liệu
Tài liệu hóa luồng và quản lý phiên bản; cập nhật ít nhất hằng năm hoặc khi thay đổi.</x:v>
      </x:c>
      <x:c r="E28" s="8" t="str">
        <x:v>Chọn một API/dịch vụ và truy vết đường đi, kho đích, chủ thể.</x:v>
      </x:c>
      <x:c r="F28" s="8" t="str">
        <x:v>DFD; lịch sử sửa; phê duyệt luồng.</x:v>
      </x:c>
      <x:c r="G28" s="8" t="str">
        <x:v>Chủ dữ liệu và bảo mật</x:v>
      </x:c>
      <x:c r="H28" s="9" t="str">
        <x:v>DC Cầu Giấy và DR Nam Thăng Long</x:v>
      </x:c>
      <x:c r="I28" s="9" t="str">
        <x:v>Có</x:v>
      </x:c>
      <x:c r="J28" s="9" t="str">
        <x:v>Chưa xác minh</x:v>
      </x:c>
      <x:c r="K28" s="9" t="str"/>
      <x:c r="L28" s="9" t="str">
        <x:v>Chưa kiểm tra</x:v>
      </x:c>
      <x:c r="M28" s="9" t="str"/>
      <x:c r="N28" s="10"/>
      <x:c r="O28" s="9" t="str"/>
      <x:c r="P28" s="9" t="str"/>
      <x:c r="Q28" s="10"/>
      <x:c r="R28" s="8" t="str">
        <x:f>IF(I28="Không áp dụng",IF(AND(S28&lt;&gt;"",M28&lt;&gt;"",ISNUMBER(N28)),"Không áp dụng đã duyệt","Chờ duyệt không áp dụng"),IF(I28&lt;&gt;"Có","Chưa chốt phạm vi",IF(J28="Chưa xác minh","Chưa đủ bằng chứng",IF(J28&lt;&gt;"Đầy đủ","Cần bổ sung triển khai",IF(K28="","Thiếu bằng chứng",IF(L28&lt;&gt;"Đạt",IF(L28="Không đạt","Cần khắc phục","Chưa kiểm tra"),IF(OR(M28="",NOT(ISNUMBER(N28))),"Chờ xác nhận","Đủ hồ sơ kiểm tra")))))))</x:f>
        <x:v>Chưa đủ bằng chứng</x:v>
      </x:c>
      <x:c r="S28" s="9" t="str"/>
    </x:row>
    <x:row r="29" ht="98" customHeight="1">
      <x:c r="A29" s="4" t="str">
        <x:v>TC-024</x:v>
      </x:c>
      <x:c r="B29" s="4" t="str">
        <x:v>Dữ liệu</x:v>
      </x:c>
      <x:c r="C29" s="4" t="str">
        <x:v>TCVN 14423:2026
6.4.2.7 • tr.63</x:v>
      </x:c>
      <x:c r="D29" s="4" t="str">
        <x:v>Phân tách dữ liệu nhạy cảm
Tách xử lý/lưu trữ theo độ nhạy cảm hoặc biện pháp tương đương; bảo vệ trao đổi bằng kênh riêng hoặc tương đương.</x:v>
      </x:c>
      <x:c r="E29" s="4" t="str">
        <x:v>Thử luồng chéo vùng và xuất dữ liệu ngoài danh sách cho phép.</x:v>
      </x:c>
      <x:c r="F29" s="4" t="str">
        <x:v>Sơ đồ phân khu; policy; đánh giá phương án tương đương.</x:v>
      </x:c>
      <x:c r="G29" s="4" t="str">
        <x:v>Chủ dữ liệu và bảo mật</x:v>
      </x:c>
      <x:c r="H29" s="9" t="str">
        <x:v>DC Cầu Giấy và DR Nam Thăng Long</x:v>
      </x:c>
      <x:c r="I29" s="9" t="str">
        <x:v>Có</x:v>
      </x:c>
      <x:c r="J29" s="9" t="str">
        <x:v>Chưa xác minh</x:v>
      </x:c>
      <x:c r="K29" s="9" t="str"/>
      <x:c r="L29" s="9" t="str">
        <x:v>Chưa kiểm tra</x:v>
      </x:c>
      <x:c r="M29" s="9" t="str"/>
      <x:c r="N29" s="10"/>
      <x:c r="O29" s="9" t="str"/>
      <x:c r="P29" s="9" t="str"/>
      <x:c r="Q29" s="10"/>
      <x:c r="R29" s="4" t="str">
        <x:f>IF(I29="Không áp dụng",IF(AND(S29&lt;&gt;"",M29&lt;&gt;"",ISNUMBER(N29)),"Không áp dụng đã duyệt","Chờ duyệt không áp dụng"),IF(I29&lt;&gt;"Có","Chưa chốt phạm vi",IF(J29="Chưa xác minh","Chưa đủ bằng chứng",IF(J29&lt;&gt;"Đầy đủ","Cần bổ sung triển khai",IF(K29="","Thiếu bằng chứng",IF(L29&lt;&gt;"Đạt",IF(L29="Không đạt","Cần khắc phục","Chưa kiểm tra"),IF(OR(M29="",NOT(ISNUMBER(N29))),"Chờ xác nhận","Đủ hồ sơ kiểm tra")))))))</x:f>
        <x:v>Chưa đủ bằng chứng</x:v>
      </x:c>
      <x:c r="S29" s="9" t="str"/>
    </x:row>
    <x:row r="30" ht="98" customHeight="1">
      <x:c r="A30" s="8" t="str">
        <x:v>TC-025</x:v>
      </x:c>
      <x:c r="B30" s="8" t="str">
        <x:v>Dữ liệu</x:v>
      </x:c>
      <x:c r="C30" s="8" t="str">
        <x:v>TCVN 14423:2026
6.4.2.8 • tr.63</x:v>
      </x:c>
      <x:c r="D30" s="8" t="str">
        <x:v>Chống thất thoát
Triển khai kiểm soát thất thoát dữ liệu quan trọng, nhạy cảm.</x:v>
      </x:c>
      <x:c r="E30" s="8" t="str">
        <x:v>Dùng mẫu dữ liệu giả lập để thử kênh email, web, USB hoặc API áp dụng.</x:v>
      </x:c>
      <x:c r="F30" s="8" t="str">
        <x:v>Cấu hình; chính sách phân loại; cảnh báo thử.</x:v>
      </x:c>
      <x:c r="G30" s="8" t="str">
        <x:v>Chủ dữ liệu và bảo mật</x:v>
      </x:c>
      <x:c r="H30" s="9" t="str">
        <x:v>DC Cầu Giấy và DR Nam Thăng Long</x:v>
      </x:c>
      <x:c r="I30" s="9" t="str">
        <x:v>Có</x:v>
      </x:c>
      <x:c r="J30" s="9" t="str">
        <x:v>Chưa xác minh</x:v>
      </x:c>
      <x:c r="K30" s="9" t="str"/>
      <x:c r="L30" s="9" t="str">
        <x:v>Chưa kiểm tra</x:v>
      </x:c>
      <x:c r="M30" s="9" t="str"/>
      <x:c r="N30" s="10"/>
      <x:c r="O30" s="9" t="str"/>
      <x:c r="P30" s="9" t="str"/>
      <x:c r="Q30" s="10"/>
      <x:c r="R30" s="8" t="str">
        <x:f>IF(I30="Không áp dụng",IF(AND(S30&lt;&gt;"",M30&lt;&gt;"",ISNUMBER(N30)),"Không áp dụng đã duyệt","Chờ duyệt không áp dụng"),IF(I30&lt;&gt;"Có","Chưa chốt phạm vi",IF(J30="Chưa xác minh","Chưa đủ bằng chứng",IF(J30&lt;&gt;"Đầy đủ","Cần bổ sung triển khai",IF(K30="","Thiếu bằng chứng",IF(L30&lt;&gt;"Đạt",IF(L30="Không đạt","Cần khắc phục","Chưa kiểm tra"),IF(OR(M30="",NOT(ISNUMBER(N30))),"Chờ xác nhận","Đủ hồ sơ kiểm tra")))))))</x:f>
        <x:v>Chưa đủ bằng chứng</x:v>
      </x:c>
      <x:c r="S30" s="9" t="str"/>
    </x:row>
    <x:row r="31" ht="98" customHeight="1">
      <x:c r="A31" s="4" t="str">
        <x:v>TC-026</x:v>
      </x:c>
      <x:c r="B31" s="4" t="str">
        <x:v>Dữ liệu</x:v>
      </x:c>
      <x:c r="C31" s="4" t="str">
        <x:v>TCVN 14423:2026
6.4.2.9 • tr.63</x:v>
      </x:c>
      <x:c r="D31" s="4" t="str">
        <x:v>Log dữ liệu quan trọng
Ghi hành vi truy cập và rà soát thường xuyên, ít nhất hằng quý.</x:v>
      </x:c>
      <x:c r="E31" s="4" t="str">
        <x:v>Truy ngược một thao tác đọc/sửa/xuất tới người thực hiện.</x:v>
      </x:c>
      <x:c r="F31" s="4" t="str">
        <x:v>Mẫu log; biên bản rà soát; ticket bất thường.</x:v>
      </x:c>
      <x:c r="G31" s="4" t="str">
        <x:v>Chủ dữ liệu và bảo mật</x:v>
      </x:c>
      <x:c r="H31" s="9" t="str">
        <x:v>DC Cầu Giấy và DR Nam Thăng Long</x:v>
      </x:c>
      <x:c r="I31" s="9" t="str">
        <x:v>Có</x:v>
      </x:c>
      <x:c r="J31" s="9" t="str">
        <x:v>Chưa xác minh</x:v>
      </x:c>
      <x:c r="K31" s="9" t="str"/>
      <x:c r="L31" s="9" t="str">
        <x:v>Chưa kiểm tra</x:v>
      </x:c>
      <x:c r="M31" s="9" t="str"/>
      <x:c r="N31" s="10"/>
      <x:c r="O31" s="9" t="str"/>
      <x:c r="P31" s="9" t="str"/>
      <x:c r="Q31" s="10"/>
      <x:c r="R31" s="4" t="str">
        <x:f>IF(I31="Không áp dụng",IF(AND(S31&lt;&gt;"",M31&lt;&gt;"",ISNUMBER(N31)),"Không áp dụng đã duyệt","Chờ duyệt không áp dụng"),IF(I31&lt;&gt;"Có","Chưa chốt phạm vi",IF(J31="Chưa xác minh","Chưa đủ bằng chứng",IF(J31&lt;&gt;"Đầy đủ","Cần bổ sung triển khai",IF(K31="","Thiếu bằng chứng",IF(L31&lt;&gt;"Đạt",IF(L31="Không đạt","Cần khắc phục","Chưa kiểm tra"),IF(OR(M31="",NOT(ISNUMBER(N31))),"Chờ xác nhận","Đủ hồ sơ kiểm tra")))))))</x:f>
        <x:v>Chưa đủ bằng chứng</x:v>
      </x:c>
      <x:c r="S31" s="9" t="str"/>
    </x:row>
    <x:row r="32" ht="98" customHeight="1">
      <x:c r="A32" s="8" t="str">
        <x:v>TC-027</x:v>
      </x:c>
      <x:c r="B32" s="8" t="str">
        <x:v>Dữ liệu</x:v>
      </x:c>
      <x:c r="C32" s="8" t="str">
        <x:v>TCVN 14423:2026
6.4.2.10 • tr.63</x:v>
      </x:c>
      <x:c r="D32" s="8" t="str">
        <x:v>Chữ ký số
Trao đổi thông tin quan trọng dùng chữ ký số từ chủ thể có thẩm quyền hoặc nhà cung cấp được phép; bảo vệ việc sử dụng.</x:v>
      </x:c>
      <x:c r="E32" s="8" t="str">
        <x:v>Thử xác minh chữ ký đúng/sai, hết hạn hoặc bị thu hồi.</x:v>
      </x:c>
      <x:c r="F32" s="8" t="str">
        <x:v>Danh sách giao dịch; chứng thư; quy trình; kết quả xác minh chữ ký.</x:v>
      </x:c>
      <x:c r="G32" s="8" t="str">
        <x:v>Chủ dữ liệu và bảo mật</x:v>
      </x:c>
      <x:c r="H32" s="9" t="str">
        <x:v>DC Cầu Giấy và DR Nam Thăng Long</x:v>
      </x:c>
      <x:c r="I32" s="9" t="str">
        <x:v>Có</x:v>
      </x:c>
      <x:c r="J32" s="9" t="str">
        <x:v>Chưa xác minh</x:v>
      </x:c>
      <x:c r="K32" s="9" t="str"/>
      <x:c r="L32" s="9" t="str">
        <x:v>Chưa kiểm tra</x:v>
      </x:c>
      <x:c r="M32" s="9" t="str"/>
      <x:c r="N32" s="10"/>
      <x:c r="O32" s="9" t="str"/>
      <x:c r="P32" s="9" t="str"/>
      <x:c r="Q32" s="10"/>
      <x:c r="R32" s="8" t="str">
        <x:f>IF(I32="Không áp dụng",IF(AND(S32&lt;&gt;"",M32&lt;&gt;"",ISNUMBER(N32)),"Không áp dụng đã duyệt","Chờ duyệt không áp dụng"),IF(I32&lt;&gt;"Có","Chưa chốt phạm vi",IF(J32="Chưa xác minh","Chưa đủ bằng chứng",IF(J32&lt;&gt;"Đầy đủ","Cần bổ sung triển khai",IF(K32="","Thiếu bằng chứng",IF(L32&lt;&gt;"Đạt",IF(L32="Không đạt","Cần khắc phục","Chưa kiểm tra"),IF(OR(M32="",NOT(ISNUMBER(N32))),"Chờ xác nhận","Đủ hồ sơ kiểm tra")))))))</x:f>
        <x:v>Chưa đủ bằng chứng</x:v>
      </x:c>
      <x:c r="S32" s="9" t="str"/>
    </x:row>
    <x:row r="33" ht="98" customHeight="1">
      <x:c r="A33" s="4" t="str">
        <x:v>TC-028</x:v>
      </x:c>
      <x:c r="B33" s="4" t="str">
        <x:v>Cấu hình</x:v>
      </x:c>
      <x:c r="C33" s="4" t="str">
        <x:v>TCVN 14423:2026
6.5.2.1 • tr.63–64</x:v>
      </x:c>
      <x:c r="D33" s="4" t="str">
        <x:v>Cấu hình chuẩn
Có quy trình và baseline; giao thức an toàn, host firewall, chống đăng nhập tự động vào tài sản quan trọng, vô hiệu dịch vụ thừa; hardening trước dùng; rà soát hằng năm/khi thay đổi.</x:v>
      </x:c>
      <x:c r="E33" s="4" t="str">
        <x:v>Đối chiếu host mẫu và kiểm tra phát hiện một thay đổi ngoài baseline.</x:v>
      </x:c>
      <x:c r="F33" s="4" t="str">
        <x:v>Baseline; export đã che bí mật; báo cáo drift; phê duyệt ngoại lệ.</x:v>
      </x:c>
      <x:c r="G33" s="4" t="str">
        <x:v>Platform và IT</x:v>
      </x:c>
      <x:c r="H33" s="9" t="str">
        <x:v>DC Cầu Giấy và DR Nam Thăng Long</x:v>
      </x:c>
      <x:c r="I33" s="9" t="str">
        <x:v>Có</x:v>
      </x:c>
      <x:c r="J33" s="9" t="str">
        <x:v>Chưa xác minh</x:v>
      </x:c>
      <x:c r="K33" s="9" t="str"/>
      <x:c r="L33" s="9" t="str">
        <x:v>Chưa kiểm tra</x:v>
      </x:c>
      <x:c r="M33" s="9" t="str"/>
      <x:c r="N33" s="10"/>
      <x:c r="O33" s="9" t="str"/>
      <x:c r="P33" s="9" t="str"/>
      <x:c r="Q33" s="10"/>
      <x:c r="R33" s="4" t="str">
        <x:f>IF(I33="Không áp dụng",IF(AND(S33&lt;&gt;"",M33&lt;&gt;"",ISNUMBER(N33)),"Không áp dụng đã duyệt","Chờ duyệt không áp dụng"),IF(I33&lt;&gt;"Có","Chưa chốt phạm vi",IF(J33="Chưa xác minh","Chưa đủ bằng chứng",IF(J33&lt;&gt;"Đầy đủ","Cần bổ sung triển khai",IF(K33="","Thiếu bằng chứng",IF(L33&lt;&gt;"Đạt",IF(L33="Không đạt","Cần khắc phục","Chưa kiểm tra"),IF(OR(M33="",NOT(ISNUMBER(N33))),"Chờ xác nhận","Đủ hồ sơ kiểm tra")))))))</x:f>
        <x:v>Chưa đủ bằng chứng</x:v>
      </x:c>
      <x:c r="S33" s="9" t="str"/>
    </x:row>
    <x:row r="34" ht="98" customHeight="1">
      <x:c r="A34" s="8" t="str">
        <x:v>TC-029</x:v>
      </x:c>
      <x:c r="B34" s="8" t="str">
        <x:v>Cấu hình</x:v>
      </x:c>
      <x:c r="C34" s="8" t="str">
        <x:v>TCVN 14423:2026
6.5.2.2 • tr.64</x:v>
      </x:c>
      <x:c r="D34" s="8" t="str">
        <x:v>Khóa phiên
Thiết lập tự khóa theo nhu cầu/rủi ro và cơ chế mở khóa khẩn cấp; các ngưỡng trong điều khoản là cấu hình có thể áp dụng.</x:v>
      </x:c>
      <x:c r="E34" s="8" t="str">
        <x:v>Đo thời gian không hoạt động; thử khóa và mở khóa có phê duyệt.</x:v>
      </x:c>
      <x:c r="F34" s="8" t="str">
        <x:v>Chính sách đã chốt; cấu hình timeout; log thử và khẩn cấp.</x:v>
      </x:c>
      <x:c r="G34" s="8" t="str">
        <x:v>Platform và IT</x:v>
      </x:c>
      <x:c r="H34" s="9" t="str">
        <x:v>DC Cầu Giấy và DR Nam Thăng Long</x:v>
      </x:c>
      <x:c r="I34" s="9" t="str">
        <x:v>Có</x:v>
      </x:c>
      <x:c r="J34" s="9" t="str">
        <x:v>Chưa xác minh</x:v>
      </x:c>
      <x:c r="K34" s="9" t="str"/>
      <x:c r="L34" s="9" t="str">
        <x:v>Chưa kiểm tra</x:v>
      </x:c>
      <x:c r="M34" s="9" t="str"/>
      <x:c r="N34" s="10"/>
      <x:c r="O34" s="9" t="str"/>
      <x:c r="P34" s="9" t="str"/>
      <x:c r="Q34" s="10"/>
      <x:c r="R34" s="8" t="str">
        <x:f>IF(I34="Không áp dụng",IF(AND(S34&lt;&gt;"",M34&lt;&gt;"",ISNUMBER(N34)),"Không áp dụng đã duyệt","Chờ duyệt không áp dụng"),IF(I34&lt;&gt;"Có","Chưa chốt phạm vi",IF(J34="Chưa xác minh","Chưa đủ bằng chứng",IF(J34&lt;&gt;"Đầy đủ","Cần bổ sung triển khai",IF(K34="","Thiếu bằng chứng",IF(L34&lt;&gt;"Đạt",IF(L34="Không đạt","Cần khắc phục","Chưa kiểm tra"),IF(OR(M34="",NOT(ISNUMBER(N34))),"Chờ xác nhận","Đủ hồ sơ kiểm tra")))))))</x:f>
        <x:v>Chưa đủ bằng chứng</x:v>
      </x:c>
      <x:c r="S34" s="9" t="str"/>
    </x:row>
    <x:row r="35" ht="98" customHeight="1">
      <x:c r="A35" s="4" t="str">
        <x:v>TC-030</x:v>
      </x:c>
      <x:c r="B35" s="4" t="str">
        <x:v>Cấu hình</x:v>
      </x:c>
      <x:c r="C35" s="4" t="str">
        <x:v>TCVN 14423:2026
6.5.2.3 • tr.64</x:v>
      </x:c>
      <x:c r="D35" s="4" t="str">
        <x:v>Dịch vụ không cần thiết
Có quy định gỡ hoặc vô hiệu tính năng và dịch vụ không cần thiết.</x:v>
      </x:c>
      <x:c r="E35" s="4" t="str">
        <x:v>Đối chiếu cổng và service thực tế với danh sách được duyệt.</x:v>
      </x:c>
      <x:c r="F35" s="4" t="str">
        <x:v>Danh sách dịch vụ; kết quả scan port; baseline.</x:v>
      </x:c>
      <x:c r="G35" s="4" t="str">
        <x:v>Platform và IT</x:v>
      </x:c>
      <x:c r="H35" s="9" t="str">
        <x:v>DC Cầu Giấy và DR Nam Thăng Long</x:v>
      </x:c>
      <x:c r="I35" s="9" t="str">
        <x:v>Có</x:v>
      </x:c>
      <x:c r="J35" s="9" t="str">
        <x:v>Chưa xác minh</x:v>
      </x:c>
      <x:c r="K35" s="9" t="str"/>
      <x:c r="L35" s="9" t="str">
        <x:v>Chưa kiểm tra</x:v>
      </x:c>
      <x:c r="M35" s="9" t="str"/>
      <x:c r="N35" s="10"/>
      <x:c r="O35" s="9" t="str"/>
      <x:c r="P35" s="9" t="str"/>
      <x:c r="Q35" s="10"/>
      <x:c r="R35" s="4" t="str">
        <x:f>IF(I35="Không áp dụng",IF(AND(S35&lt;&gt;"",M35&lt;&gt;"",ISNUMBER(N35)),"Không áp dụng đã duyệt","Chờ duyệt không áp dụng"),IF(I35&lt;&gt;"Có","Chưa chốt phạm vi",IF(J35="Chưa xác minh","Chưa đủ bằng chứng",IF(J35&lt;&gt;"Đầy đủ","Cần bổ sung triển khai",IF(K35="","Thiếu bằng chứng",IF(L35&lt;&gt;"Đạt",IF(L35="Không đạt","Cần khắc phục","Chưa kiểm tra"),IF(OR(M35="",NOT(ISNUMBER(N35))),"Chờ xác nhận","Đủ hồ sơ kiểm tra")))))))</x:f>
        <x:v>Chưa đủ bằng chứng</x:v>
      </x:c>
      <x:c r="S35" s="9" t="str"/>
    </x:row>
    <x:row r="36" ht="98" customHeight="1">
      <x:c r="A36" s="8" t="str">
        <x:v>TC-031</x:v>
      </x:c>
      <x:c r="B36" s="8" t="str">
        <x:v>Cấu hình</x:v>
      </x:c>
      <x:c r="C36" s="8" t="str">
        <x:v>TCVN 14423:2026
6.5.2.4 • tr.64</x:v>
      </x:c>
      <x:c r="D36" s="8" t="str">
        <x:v>DNS tin cậy
Cấu hình DNS tin cậy trên tài sản khi có.</x:v>
      </x:c>
      <x:c r="E36" s="8" t="str">
        <x:v>Thử resolver đúng và chặn truy vấn trực tiếp tới DNS ngoài.</x:v>
      </x:c>
      <x:c r="F36" s="8" t="str">
        <x:v>Cấu hình resolver; ACL; log DNS.</x:v>
      </x:c>
      <x:c r="G36" s="8" t="str">
        <x:v>Platform và IT</x:v>
      </x:c>
      <x:c r="H36" s="9" t="str">
        <x:v>DC Cầu Giấy và DR Nam Thăng Long</x:v>
      </x:c>
      <x:c r="I36" s="9" t="str">
        <x:v>Có</x:v>
      </x:c>
      <x:c r="J36" s="9" t="str">
        <x:v>Chưa xác minh</x:v>
      </x:c>
      <x:c r="K36" s="9" t="str"/>
      <x:c r="L36" s="9" t="str">
        <x:v>Chưa kiểm tra</x:v>
      </x:c>
      <x:c r="M36" s="9" t="str"/>
      <x:c r="N36" s="10"/>
      <x:c r="O36" s="9" t="str"/>
      <x:c r="P36" s="9" t="str"/>
      <x:c r="Q36" s="10"/>
      <x:c r="R36" s="8" t="str">
        <x:f>IF(I36="Không áp dụng",IF(AND(S36&lt;&gt;"",M36&lt;&gt;"",ISNUMBER(N36)),"Không áp dụng đã duyệt","Chờ duyệt không áp dụng"),IF(I36&lt;&gt;"Có","Chưa chốt phạm vi",IF(J36="Chưa xác minh","Chưa đủ bằng chứng",IF(J36&lt;&gt;"Đầy đủ","Cần bổ sung triển khai",IF(K36="","Thiếu bằng chứng",IF(L36&lt;&gt;"Đạt",IF(L36="Không đạt","Cần khắc phục","Chưa kiểm tra"),IF(OR(M36="",NOT(ISNUMBER(N36))),"Chờ xác nhận","Đủ hồ sơ kiểm tra")))))))</x:f>
        <x:v>Chưa đủ bằng chứng</x:v>
      </x:c>
      <x:c r="S36" s="9" t="str"/>
    </x:row>
    <x:row r="37" ht="98" customHeight="1">
      <x:c r="A37" s="4" t="str">
        <x:v>TC-032</x:v>
      </x:c>
      <x:c r="B37" s="4" t="str">
        <x:v>Cấu hình</x:v>
      </x:c>
      <x:c r="C37" s="4" t="str">
        <x:v>TCVN 14423:2026
6.5.2.5 • tr.64</x:v>
      </x:c>
      <x:c r="D37" s="4" t="str">
        <x:v>Xóa thiết bị từ xa
Có khả năng xóa sạch từ xa đối với thiết bị di động cấp người dùng.</x:v>
      </x:c>
      <x:c r="E37" s="4" t="str">
        <x:v>Kiểm tra thu hồi/xóa dữ liệu công việc trên thiết bị kiểm thử.</x:v>
      </x:c>
      <x:c r="F37" s="4" t="str">
        <x:v>Danh sách MDM; cấu hình; biên bản remote wipe.</x:v>
      </x:c>
      <x:c r="G37" s="4" t="str">
        <x:v>Platform và IT</x:v>
      </x:c>
      <x:c r="H37" s="9" t="str">
        <x:v>DC Cầu Giấy và DR Nam Thăng Long</x:v>
      </x:c>
      <x:c r="I37" s="9" t="str">
        <x:v>Có</x:v>
      </x:c>
      <x:c r="J37" s="9" t="str">
        <x:v>Chưa xác minh</x:v>
      </x:c>
      <x:c r="K37" s="9" t="str"/>
      <x:c r="L37" s="9" t="str">
        <x:v>Chưa kiểm tra</x:v>
      </x:c>
      <x:c r="M37" s="9" t="str"/>
      <x:c r="N37" s="10"/>
      <x:c r="O37" s="9" t="str"/>
      <x:c r="P37" s="9" t="str"/>
      <x:c r="Q37" s="10"/>
      <x:c r="R37" s="4" t="str">
        <x:f>IF(I37="Không áp dụng",IF(AND(S37&lt;&gt;"",M37&lt;&gt;"",ISNUMBER(N37)),"Không áp dụng đã duyệt","Chờ duyệt không áp dụng"),IF(I37&lt;&gt;"Có","Chưa chốt phạm vi",IF(J37="Chưa xác minh","Chưa đủ bằng chứng",IF(J37&lt;&gt;"Đầy đủ","Cần bổ sung triển khai",IF(K37="","Thiếu bằng chứng",IF(L37&lt;&gt;"Đạt",IF(L37="Không đạt","Cần khắc phục","Chưa kiểm tra"),IF(OR(M37="",NOT(ISNUMBER(N37))),"Chờ xác nhận","Đủ hồ sơ kiểm tra")))))))</x:f>
        <x:v>Chưa đủ bằng chứng</x:v>
      </x:c>
      <x:c r="S37" s="9" t="str"/>
    </x:row>
    <x:row r="38" ht="98" customHeight="1">
      <x:c r="A38" s="8" t="str">
        <x:v>TC-033</x:v>
      </x:c>
      <x:c r="B38" s="8" t="str">
        <x:v>Cấu hình</x:v>
      </x:c>
      <x:c r="C38" s="8" t="str">
        <x:v>TCVN 14423:2026
6.5.2.6 • tr.64</x:v>
      </x:c>
      <x:c r="D38" s="8" t="str">
        <x:v>Không gian làm việc di động
Quy định tách không gian làm việc trên thiết bị di động được cấp.</x:v>
      </x:c>
      <x:c r="E38" s="8" t="str">
        <x:v>Thử chuyển dữ liệu giữa hai không gian theo chính sách.</x:v>
      </x:c>
      <x:c r="F38" s="8" t="str">
        <x:v>Policy MDM/work profile; cấu hình.</x:v>
      </x:c>
      <x:c r="G38" s="8" t="str">
        <x:v>Platform và IT</x:v>
      </x:c>
      <x:c r="H38" s="9" t="str">
        <x:v>DC Cầu Giấy và DR Nam Thăng Long</x:v>
      </x:c>
      <x:c r="I38" s="9" t="str">
        <x:v>Có</x:v>
      </x:c>
      <x:c r="J38" s="9" t="str">
        <x:v>Chưa xác minh</x:v>
      </x:c>
      <x:c r="K38" s="9" t="str"/>
      <x:c r="L38" s="9" t="str">
        <x:v>Chưa kiểm tra</x:v>
      </x:c>
      <x:c r="M38" s="9" t="str"/>
      <x:c r="N38" s="10"/>
      <x:c r="O38" s="9" t="str"/>
      <x:c r="P38" s="9" t="str"/>
      <x:c r="Q38" s="10"/>
      <x:c r="R38" s="8" t="str">
        <x:f>IF(I38="Không áp dụng",IF(AND(S38&lt;&gt;"",M38&lt;&gt;"",ISNUMBER(N38)),"Không áp dụng đã duyệt","Chờ duyệt không áp dụng"),IF(I38&lt;&gt;"Có","Chưa chốt phạm vi",IF(J38="Chưa xác minh","Chưa đủ bằng chứng",IF(J38&lt;&gt;"Đầy đủ","Cần bổ sung triển khai",IF(K38="","Thiếu bằng chứng",IF(L38&lt;&gt;"Đạt",IF(L38="Không đạt","Cần khắc phục","Chưa kiểm tra"),IF(OR(M38="",NOT(ISNUMBER(N38))),"Chờ xác nhận","Đủ hồ sơ kiểm tra")))))))</x:f>
        <x:v>Chưa đủ bằng chứng</x:v>
      </x:c>
      <x:c r="S38" s="9" t="str"/>
    </x:row>
    <x:row r="39" ht="98" customHeight="1">
      <x:c r="A39" s="4" t="str">
        <x:v>TC-034</x:v>
      </x:c>
      <x:c r="B39" s="4" t="str">
        <x:v>Tài khoản và quyền</x:v>
      </x:c>
      <x:c r="C39" s="4" t="str">
        <x:v>TCVN 14423:2026
6.6.1; 6.6.2.1 • tr.65</x:v>
      </x:c>
      <x:c r="D39" s="4" t="str">
        <x:v>Danh mục tài khoản
Quản lý đủ tài khoản và chủ sở hữu, loại, trạng thái, tài sản, ngày kích hoạt/vô hiệu; rà soát ít nhất hằng quý; ghi log hoạt động.</x:v>
      </x:c>
      <x:c r="E39" s="4" t="str">
        <x:v>Chọn tài khoản bất kỳ và xác minh chủ thể, lý do quyền, trạng thái.</x:v>
      </x:c>
      <x:c r="F39" s="4" t="str">
        <x:v>Danh mục; ma trận quyền; biên bản rà soát; audit log.</x:v>
      </x:c>
      <x:c r="G39" s="4" t="str">
        <x:v>IAM và bộ phận an ninh</x:v>
      </x:c>
      <x:c r="H39" s="9" t="str">
        <x:v>DC Cầu Giấy và DR Nam Thăng Long</x:v>
      </x:c>
      <x:c r="I39" s="9" t="str">
        <x:v>Có</x:v>
      </x:c>
      <x:c r="J39" s="9" t="str">
        <x:v>Chưa xác minh</x:v>
      </x:c>
      <x:c r="K39" s="9" t="str"/>
      <x:c r="L39" s="9" t="str">
        <x:v>Chưa kiểm tra</x:v>
      </x:c>
      <x:c r="M39" s="9" t="str"/>
      <x:c r="N39" s="10"/>
      <x:c r="O39" s="9" t="str"/>
      <x:c r="P39" s="9" t="str"/>
      <x:c r="Q39" s="10"/>
      <x:c r="R39" s="4" t="str">
        <x:f>IF(I39="Không áp dụng",IF(AND(S39&lt;&gt;"",M39&lt;&gt;"",ISNUMBER(N39)),"Không áp dụng đã duyệt","Chờ duyệt không áp dụng"),IF(I39&lt;&gt;"Có","Chưa chốt phạm vi",IF(J39="Chưa xác minh","Chưa đủ bằng chứng",IF(J39&lt;&gt;"Đầy đủ","Cần bổ sung triển khai",IF(K39="","Thiếu bằng chứng",IF(L39&lt;&gt;"Đạt",IF(L39="Không đạt","Cần khắc phục","Chưa kiểm tra"),IF(OR(M39="",NOT(ISNUMBER(N39))),"Chờ xác nhận","Đủ hồ sơ kiểm tra")))))))</x:f>
        <x:v>Chưa đủ bằng chứng</x:v>
      </x:c>
      <x:c r="S39" s="9" t="str"/>
    </x:row>
    <x:row r="40" ht="98" customHeight="1">
      <x:c r="A40" s="8" t="str">
        <x:v>TC-035</x:v>
      </x:c>
      <x:c r="B40" s="8" t="str">
        <x:v>Tài khoản và quyền</x:v>
      </x:c>
      <x:c r="C40" s="8" t="str">
        <x:v>TCVN 14423:2026
6.6.2.2 • tr.65–66</x:v>
      </x:c>
      <x:c r="D40" s="8" t="str">
        <x:v>Chính sách mật khẩu
Đổi mặc định; quy định độ dài, thành phần, kỳ thay và hiệu lực theo rủi ro. Điều khoản có các cấu hình tham khảo cho MFA và không MFA.</x:v>
      </x:c>
      <x:c r="E40" s="8" t="str">
        <x:v>Thử mật khẩu mặc định/yếu và kiểm tra thực thi kỳ thay đã phê duyệt.</x:v>
      </x:c>
      <x:c r="F40" s="8" t="str">
        <x:v>Policy; cấu hình; thử mật khẩu; hồ sơ ngoại lệ.</x:v>
      </x:c>
      <x:c r="G40" s="8" t="str">
        <x:v>IAM và bộ phận an ninh</x:v>
      </x:c>
      <x:c r="H40" s="9" t="str">
        <x:v>DC Cầu Giấy và DR Nam Thăng Long</x:v>
      </x:c>
      <x:c r="I40" s="9" t="str">
        <x:v>Có</x:v>
      </x:c>
      <x:c r="J40" s="9" t="str">
        <x:v>Chưa xác minh</x:v>
      </x:c>
      <x:c r="K40" s="9" t="str"/>
      <x:c r="L40" s="9" t="str">
        <x:v>Chưa kiểm tra</x:v>
      </x:c>
      <x:c r="M40" s="9" t="str"/>
      <x:c r="N40" s="10"/>
      <x:c r="O40" s="9" t="str"/>
      <x:c r="P40" s="9" t="str"/>
      <x:c r="Q40" s="10"/>
      <x:c r="R40" s="8" t="str">
        <x:f>IF(I40="Không áp dụng",IF(AND(S40&lt;&gt;"",M40&lt;&gt;"",ISNUMBER(N40)),"Không áp dụng đã duyệt","Chờ duyệt không áp dụng"),IF(I40&lt;&gt;"Có","Chưa chốt phạm vi",IF(J40="Chưa xác minh","Chưa đủ bằng chứng",IF(J40&lt;&gt;"Đầy đủ","Cần bổ sung triển khai",IF(K40="","Thiếu bằng chứng",IF(L40&lt;&gt;"Đạt",IF(L40="Không đạt","Cần khắc phục","Chưa kiểm tra"),IF(OR(M40="",NOT(ISNUMBER(N40))),"Chờ xác nhận","Đủ hồ sơ kiểm tra")))))))</x:f>
        <x:v>Chưa đủ bằng chứng</x:v>
      </x:c>
      <x:c r="S40" s="9" t="str"/>
    </x:row>
    <x:row r="41" ht="98" customHeight="1">
      <x:c r="A41" s="4" t="str">
        <x:v>TC-036</x:v>
      </x:c>
      <x:c r="B41" s="4" t="str">
        <x:v>Tài khoản và quyền</x:v>
      </x:c>
      <x:c r="C41" s="4" t="str">
        <x:v>TCVN 14423:2026
6.6.2.3 • tr.66</x:v>
      </x:c>
      <x:c r="D41" s="4" t="str">
        <x:v>Quản lý tài khoản đặc quyền
PAM hoặc tương đương, quản lý tập trung, tách loại tài khoản, định danh cá nhân; quản lý khóa; xử lý mặc định; vô hiệu tài khoản không hoạt động sau 45 ngày hoặc khi thay đổi nhân sự; rà soát quy định hằng năm.</x:v>
      </x:c>
      <x:c r="E41" s="4" t="str">
        <x:v>Thử thu hồi quyền, hết thời hạn; kiểm tra tài khoản nhàn rỗi trên toàn hệ thống.</x:v>
      </x:c>
      <x:c r="F41" s="4" t="str">
        <x:v>Danh mục PAM; log phiên; ticket nghỉ việc; danh sách không hoạt động.</x:v>
      </x:c>
      <x:c r="G41" s="4" t="str">
        <x:v>IAM và bộ phận an ninh</x:v>
      </x:c>
      <x:c r="H41" s="9" t="str">
        <x:v>DC Cầu Giấy và DR Nam Thăng Long</x:v>
      </x:c>
      <x:c r="I41" s="9" t="str">
        <x:v>Có</x:v>
      </x:c>
      <x:c r="J41" s="9" t="str">
        <x:v>Chưa xác minh</x:v>
      </x:c>
      <x:c r="K41" s="9" t="str"/>
      <x:c r="L41" s="9" t="str">
        <x:v>Chưa kiểm tra</x:v>
      </x:c>
      <x:c r="M41" s="9" t="str"/>
      <x:c r="N41" s="10"/>
      <x:c r="O41" s="9" t="str"/>
      <x:c r="P41" s="9" t="str"/>
      <x:c r="Q41" s="10"/>
      <x:c r="R41" s="4" t="str">
        <x:f>IF(I41="Không áp dụng",IF(AND(S41&lt;&gt;"",M41&lt;&gt;"",ISNUMBER(N41)),"Không áp dụng đã duyệt","Chờ duyệt không áp dụng"),IF(I41&lt;&gt;"Có","Chưa chốt phạm vi",IF(J41="Chưa xác minh","Chưa đủ bằng chứng",IF(J41&lt;&gt;"Đầy đủ","Cần bổ sung triển khai",IF(K41="","Thiếu bằng chứng",IF(L41&lt;&gt;"Đạt",IF(L41="Không đạt","Cần khắc phục","Chưa kiểm tra"),IF(OR(M41="",NOT(ISNUMBER(N41))),"Chờ xác nhận","Đủ hồ sơ kiểm tra")))))))</x:f>
        <x:v>Chưa đủ bằng chứng</x:v>
      </x:c>
      <x:c r="S41" s="9" t="str"/>
    </x:row>
    <x:row r="42" ht="98" customHeight="1">
      <x:c r="A42" s="8" t="str">
        <x:v>TC-037</x:v>
      </x:c>
      <x:c r="B42" s="8" t="str">
        <x:v>Tài khoản và quyền</x:v>
      </x:c>
      <x:c r="C42" s="8" t="str">
        <x:v>TCVN 14423:2026
6.6.2.4 • tr.66</x:v>
      </x:c>
      <x:c r="D42" s="8" t="str">
        <x:v>MFA và quyền tối thiểu
Quyền tối thiểu, tách nhiệm vụ; MFA với truy cập ngoài tổ chức, đối tác, Internet và quyền quản trị; rà soát quy định hằng năm/khi đổi.</x:v>
      </x:c>
      <x:c r="E42" s="8" t="str">
        <x:v>Thử truy cập khi thiếu MFA và truy cập vượt vai trò.</x:v>
      </x:c>
      <x:c r="F42" s="8" t="str">
        <x:v>Ma trận RBAC; policy MFA; log thử; phê duyệt vai trò.</x:v>
      </x:c>
      <x:c r="G42" s="8" t="str">
        <x:v>IAM và bộ phận an ninh</x:v>
      </x:c>
      <x:c r="H42" s="9" t="str">
        <x:v>DC Cầu Giấy và DR Nam Thăng Long</x:v>
      </x:c>
      <x:c r="I42" s="9" t="str">
        <x:v>Có</x:v>
      </x:c>
      <x:c r="J42" s="9" t="str">
        <x:v>Chưa xác minh</x:v>
      </x:c>
      <x:c r="K42" s="9" t="str"/>
      <x:c r="L42" s="9" t="str">
        <x:v>Chưa kiểm tra</x:v>
      </x:c>
      <x:c r="M42" s="9" t="str"/>
      <x:c r="N42" s="10"/>
      <x:c r="O42" s="9" t="str"/>
      <x:c r="P42" s="9" t="str"/>
      <x:c r="Q42" s="10"/>
      <x:c r="R42" s="8" t="str">
        <x:f>IF(I42="Không áp dụng",IF(AND(S42&lt;&gt;"",M42&lt;&gt;"",ISNUMBER(N42)),"Không áp dụng đã duyệt","Chờ duyệt không áp dụng"),IF(I42&lt;&gt;"Có","Chưa chốt phạm vi",IF(J42="Chưa xác minh","Chưa đủ bằng chứng",IF(J42&lt;&gt;"Đầy đủ","Cần bổ sung triển khai",IF(K42="","Thiếu bằng chứng",IF(L42&lt;&gt;"Đạt",IF(L42="Không đạt","Cần khắc phục","Chưa kiểm tra"),IF(OR(M42="",NOT(ISNUMBER(N42))),"Chờ xác nhận","Đủ hồ sơ kiểm tra")))))))</x:f>
        <x:v>Chưa đủ bằng chứng</x:v>
      </x:c>
      <x:c r="S42" s="9" t="str"/>
    </x:row>
    <x:row r="43" ht="98" customHeight="1">
      <x:c r="A43" s="4" t="str">
        <x:v>TC-038</x:v>
      </x:c>
      <x:c r="B43" s="4" t="str">
        <x:v>Tài khoản và quyền</x:v>
      </x:c>
      <x:c r="C43" s="4" t="str">
        <x:v>TCVN 14423:2026
6.6.2.5 • tr.66</x:v>
      </x:c>
      <x:c r="D43" s="4" t="str">
        <x:v>Cấp đổi thu hồi quyền
Có quy trình cấp mới, thay đổi, thu hồi; rà soát quy trình và thực hiện ít nhất hằng năm/khi đổi.</x:v>
      </x:c>
      <x:c r="E43" s="4" t="str">
        <x:v>Truy vết một nhân sự vào/chuyển/nghỉ việc qua tất cả hệ thống.</x:v>
      </x:c>
      <x:c r="F43" s="4" t="str">
        <x:v>Phiếu cấp quyền; phê duyệt; kết quả thực hiện và rà soát.</x:v>
      </x:c>
      <x:c r="G43" s="4" t="str">
        <x:v>IAM và bộ phận an ninh</x:v>
      </x:c>
      <x:c r="H43" s="9" t="str">
        <x:v>DC Cầu Giấy và DR Nam Thăng Long</x:v>
      </x:c>
      <x:c r="I43" s="9" t="str">
        <x:v>Có</x:v>
      </x:c>
      <x:c r="J43" s="9" t="str">
        <x:v>Chưa xác minh</x:v>
      </x:c>
      <x:c r="K43" s="9" t="str"/>
      <x:c r="L43" s="9" t="str">
        <x:v>Chưa kiểm tra</x:v>
      </x:c>
      <x:c r="M43" s="9" t="str"/>
      <x:c r="N43" s="10"/>
      <x:c r="O43" s="9" t="str"/>
      <x:c r="P43" s="9" t="str"/>
      <x:c r="Q43" s="10"/>
      <x:c r="R43" s="4" t="str">
        <x:f>IF(I43="Không áp dụng",IF(AND(S43&lt;&gt;"",M43&lt;&gt;"",ISNUMBER(N43)),"Không áp dụng đã duyệt","Chờ duyệt không áp dụng"),IF(I43&lt;&gt;"Có","Chưa chốt phạm vi",IF(J43="Chưa xác minh","Chưa đủ bằng chứng",IF(J43&lt;&gt;"Đầy đủ","Cần bổ sung triển khai",IF(K43="","Thiếu bằng chứng",IF(L43&lt;&gt;"Đạt",IF(L43="Không đạt","Cần khắc phục","Chưa kiểm tra"),IF(OR(M43="",NOT(ISNUMBER(N43))),"Chờ xác nhận","Đủ hồ sơ kiểm tra")))))))</x:f>
        <x:v>Chưa đủ bằng chứng</x:v>
      </x:c>
      <x:c r="S43" s="9" t="str"/>
    </x:row>
    <x:row r="44" ht="98" customHeight="1">
      <x:c r="A44" s="8" t="str">
        <x:v>TC-039</x:v>
      </x:c>
      <x:c r="B44" s="8" t="str">
        <x:v>Lỗ hổng và bản vá</x:v>
      </x:c>
      <x:c r="C44" s="8" t="str">
        <x:v>TCVN 14423:2026
6.7.1; 6.7.2.1 • tr.67</x:v>
      </x:c>
      <x:c r="D44" s="8" t="str">
        <x:v>Quản lý lỗ hổng
Theo dõi mối đe dọa; scan toàn hệ thống ít nhất 1 lần/6 tháng, tài sản quan trọng hằng quý; phân loại, chia sẻ, khắc phục và retest; cập nhật quy trình 6 tháng/khi đổi.</x:v>
      </x:c>
      <x:c r="E44" s="8" t="str">
        <x:v>Đối chiếu CMDB với phạm vi scan và kiểm tra lỗ hổng đã đóng.</x:v>
      </x:c>
      <x:c r="F44" s="8" t="str">
        <x:v>Phạm vi scan; báo cáo; ticket; SLA nội bộ; retest.</x:v>
      </x:c>
      <x:c r="G44" s="8" t="str">
        <x:v>SecOps và Platform</x:v>
      </x:c>
      <x:c r="H44" s="9" t="str">
        <x:v>DC Cầu Giấy và DR Nam Thăng Long</x:v>
      </x:c>
      <x:c r="I44" s="9" t="str">
        <x:v>Có</x:v>
      </x:c>
      <x:c r="J44" s="9" t="str">
        <x:v>Chưa xác minh</x:v>
      </x:c>
      <x:c r="K44" s="9" t="str"/>
      <x:c r="L44" s="9" t="str">
        <x:v>Chưa kiểm tra</x:v>
      </x:c>
      <x:c r="M44" s="9" t="str"/>
      <x:c r="N44" s="10"/>
      <x:c r="O44" s="9" t="str"/>
      <x:c r="P44" s="9" t="str"/>
      <x:c r="Q44" s="10"/>
      <x:c r="R44" s="8" t="str">
        <x:f>IF(I44="Không áp dụng",IF(AND(S44&lt;&gt;"",M44&lt;&gt;"",ISNUMBER(N44)),"Không áp dụng đã duyệt","Chờ duyệt không áp dụng"),IF(I44&lt;&gt;"Có","Chưa chốt phạm vi",IF(J44="Chưa xác minh","Chưa đủ bằng chứng",IF(J44&lt;&gt;"Đầy đủ","Cần bổ sung triển khai",IF(K44="","Thiếu bằng chứng",IF(L44&lt;&gt;"Đạt",IF(L44="Không đạt","Cần khắc phục","Chưa kiểm tra"),IF(OR(M44="",NOT(ISNUMBER(N44))),"Chờ xác nhận","Đủ hồ sơ kiểm tra")))))))</x:f>
        <x:v>Chưa đủ bằng chứng</x:v>
      </x:c>
      <x:c r="S44" s="9" t="str"/>
    </x:row>
    <x:row r="45" ht="98" customHeight="1">
      <x:c r="A45" s="4" t="str">
        <x:v>TC-040</x:v>
      </x:c>
      <x:c r="B45" s="4" t="str">
        <x:v>Lỗ hổng và bản vá</x:v>
      </x:c>
      <x:c r="C45" s="4" t="str">
        <x:v>TCVN 14423:2026
6.7.2.2 • tr.67</x:v>
      </x:c>
      <x:c r="D45" s="4" t="str">
        <x:v>Quản lý bản vá
Quản lý tập trung; kiểm thử, đánh giá tác động và phương án phục hồi trước vá hệ thống quan trọng; kiểm tra/cập nhật máy người dùng ít nhất hằng tháng nếu có.</x:v>
      </x:c>
      <x:c r="E45" s="4" t="str">
        <x:v>Kiểm tra phiên bản sau vá và một lần rollback có hồ sơ.</x:v>
      </x:c>
      <x:c r="F45" s="4" t="str">
        <x:v>Lịch vá; bằng chứng thử; phê duyệt; inventory phiên bản.</x:v>
      </x:c>
      <x:c r="G45" s="4" t="str">
        <x:v>SecOps và Platform</x:v>
      </x:c>
      <x:c r="H45" s="9" t="str">
        <x:v>DC Cầu Giấy và DR Nam Thăng Long</x:v>
      </x:c>
      <x:c r="I45" s="9" t="str">
        <x:v>Có</x:v>
      </x:c>
      <x:c r="J45" s="9" t="str">
        <x:v>Chưa xác minh</x:v>
      </x:c>
      <x:c r="K45" s="9" t="str"/>
      <x:c r="L45" s="9" t="str">
        <x:v>Chưa kiểm tra</x:v>
      </x:c>
      <x:c r="M45" s="9" t="str"/>
      <x:c r="N45" s="10"/>
      <x:c r="O45" s="9" t="str"/>
      <x:c r="P45" s="9" t="str"/>
      <x:c r="Q45" s="10"/>
      <x:c r="R45" s="4" t="str">
        <x:f>IF(I45="Không áp dụng",IF(AND(S45&lt;&gt;"",M45&lt;&gt;"",ISNUMBER(N45)),"Không áp dụng đã duyệt","Chờ duyệt không áp dụng"),IF(I45&lt;&gt;"Có","Chưa chốt phạm vi",IF(J45="Chưa xác minh","Chưa đủ bằng chứng",IF(J45&lt;&gt;"Đầy đủ","Cần bổ sung triển khai",IF(K45="","Thiếu bằng chứng",IF(L45&lt;&gt;"Đạt",IF(L45="Không đạt","Cần khắc phục","Chưa kiểm tra"),IF(OR(M45="",NOT(ISNUMBER(N45))),"Chờ xác nhận","Đủ hồ sơ kiểm tra")))))))</x:f>
        <x:v>Chưa đủ bằng chứng</x:v>
      </x:c>
      <x:c r="S45" s="9" t="str"/>
    </x:row>
    <x:row r="46" ht="98" customHeight="1">
      <x:c r="A46" s="8" t="str">
        <x:v>TC-041</x:v>
      </x:c>
      <x:c r="B46" s="8" t="str">
        <x:v>Nhật ký</x:v>
      </x:c>
      <x:c r="C46" s="8" t="str">
        <x:v>TCVN 14423:2026
6.8.2.1 a • tr.68</x:v>
      </x:c>
      <x:c r="D46" s="8" t="str">
        <x:v>Phạm vi và trường nhật ký
Thu log truy cập, tiến trình, ứng dụng, dữ liệu và cảnh báo trên toàn bộ tài sản; có nguồn/đích, định danh, thời gian, hành vi và trường phù hợp từng loại.</x:v>
      </x:c>
      <x:c r="E46" s="8" t="str">
        <x:v>Tạo sự kiện mẫu trên mỗi loại tài sản và tìm lại đầy đủ trường.</x:v>
      </x:c>
      <x:c r="F46" s="8" t="str">
        <x:v>Ma trận nguồn; mẫu từng loại log; parser.</x:v>
      </x:c>
      <x:c r="G46" s="8" t="str">
        <x:v>SOC</x:v>
      </x:c>
      <x:c r="H46" s="9" t="str">
        <x:v>DC Cầu Giấy và DR Nam Thăng Long</x:v>
      </x:c>
      <x:c r="I46" s="9" t="str">
        <x:v>Có</x:v>
      </x:c>
      <x:c r="J46" s="9" t="str">
        <x:v>Chưa xác minh</x:v>
      </x:c>
      <x:c r="K46" s="9" t="str"/>
      <x:c r="L46" s="9" t="str">
        <x:v>Chưa kiểm tra</x:v>
      </x:c>
      <x:c r="M46" s="9" t="str"/>
      <x:c r="N46" s="10"/>
      <x:c r="O46" s="9" t="str"/>
      <x:c r="P46" s="9" t="str"/>
      <x:c r="Q46" s="10"/>
      <x:c r="R46" s="8" t="str">
        <x:f>IF(I46="Không áp dụng",IF(AND(S46&lt;&gt;"",M46&lt;&gt;"",ISNUMBER(N46)),"Không áp dụng đã duyệt","Chờ duyệt không áp dụng"),IF(I46&lt;&gt;"Có","Chưa chốt phạm vi",IF(J46="Chưa xác minh","Chưa đủ bằng chứng",IF(J46&lt;&gt;"Đầy đủ","Cần bổ sung triển khai",IF(K46="","Thiếu bằng chứng",IF(L46&lt;&gt;"Đạt",IF(L46="Không đạt","Cần khắc phục","Chưa kiểm tra"),IF(OR(M46="",NOT(ISNUMBER(N46))),"Chờ xác nhận","Đủ hồ sơ kiểm tra")))))))</x:f>
        <x:v>Chưa đủ bằng chứng</x:v>
      </x:c>
      <x:c r="S46" s="9" t="str"/>
    </x:row>
    <x:row r="47" ht="98" customHeight="1">
      <x:c r="A47" s="4" t="str">
        <x:v>TC-042</x:v>
      </x:c>
      <x:c r="B47" s="4" t="str">
        <x:v>Nhật ký</x:v>
      </x:c>
      <x:c r="C47" s="4" t="str">
        <x:v>TCVN 14423:2026
6.8.2.1 a • tr.68</x:v>
      </x:c>
      <x:c r="D47" s="4" t="str">
        <x:v>Đồng bộ và tập trung log
Đồng bộ thời gian; SIEM hoặc tương đương; chuyển log về hệ thống tập trung.</x:v>
      </x:c>
      <x:c r="E47" s="4" t="str">
        <x:v>So thời gian và mô phỏng gián đoạn collector để kiểm tra mất log.</x:v>
      </x:c>
      <x:c r="F47" s="4" t="str">
        <x:v>Cấu hình NTP; pipeline; chứng thư; dashboard nguồn.</x:v>
      </x:c>
      <x:c r="G47" s="4" t="str">
        <x:v>SOC</x:v>
      </x:c>
      <x:c r="H47" s="9" t="str">
        <x:v>DC Cầu Giấy và DR Nam Thăng Long</x:v>
      </x:c>
      <x:c r="I47" s="9" t="str">
        <x:v>Có</x:v>
      </x:c>
      <x:c r="J47" s="9" t="str">
        <x:v>Chưa xác minh</x:v>
      </x:c>
      <x:c r="K47" s="9" t="str"/>
      <x:c r="L47" s="9" t="str">
        <x:v>Chưa kiểm tra</x:v>
      </x:c>
      <x:c r="M47" s="9" t="str"/>
      <x:c r="N47" s="10"/>
      <x:c r="O47" s="9" t="str"/>
      <x:c r="P47" s="9" t="str"/>
      <x:c r="Q47" s="10"/>
      <x:c r="R47" s="4" t="str">
        <x:f>IF(I47="Không áp dụng",IF(AND(S47&lt;&gt;"",M47&lt;&gt;"",ISNUMBER(N47)),"Không áp dụng đã duyệt","Chờ duyệt không áp dụng"),IF(I47&lt;&gt;"Có","Chưa chốt phạm vi",IF(J47="Chưa xác minh","Chưa đủ bằng chứng",IF(J47&lt;&gt;"Đầy đủ","Cần bổ sung triển khai",IF(K47="","Thiếu bằng chứng",IF(L47&lt;&gt;"Đạt",IF(L47="Không đạt","Cần khắc phục","Chưa kiểm tra"),IF(OR(M47="",NOT(ISNUMBER(N47))),"Chờ xác nhận","Đủ hồ sơ kiểm tra")))))))</x:f>
        <x:v>Chưa đủ bằng chứng</x:v>
      </x:c>
      <x:c r="S47" s="9" t="str"/>
    </x:row>
    <x:row r="48" ht="98" customHeight="1">
      <x:c r="A48" s="8" t="str">
        <x:v>TC-043</x:v>
      </x:c>
      <x:c r="B48" s="8" t="str">
        <x:v>Nhật ký</x:v>
      </x:c>
      <x:c r="C48" s="8" t="str">
        <x:v>TCVN 14423:2026
6.8.2.1 a b • tr.68</x:v>
      </x:c>
      <x:c r="D48" s="8" t="str">
        <x:v>Lưu giữ và rà soát log
Dung lượng lưu tối thiểu 6 tháng; theo dõi đầy kho; rà soát nhật ký ít nhất hằng tháng; cập nhật quy trình hằng năm/khi đổi.</x:v>
      </x:c>
      <x:c r="E48" s="8" t="str">
        <x:v>Truy vấn mốc lưu giữ, kiểm tra cảnh báo đầy kho; không coi 180 ngày luôn bằng 6 tháng.</x:v>
      </x:c>
      <x:c r="F48" s="8" t="str">
        <x:v>Cấu hình retention; truy vấn log cũ; số đo EPS; báo cáo tháng.</x:v>
      </x:c>
      <x:c r="G48" s="8" t="str">
        <x:v>SOC</x:v>
      </x:c>
      <x:c r="H48" s="9" t="str">
        <x:v>DC Cầu Giấy và DR Nam Thăng Long</x:v>
      </x:c>
      <x:c r="I48" s="9" t="str">
        <x:v>Có</x:v>
      </x:c>
      <x:c r="J48" s="9" t="str">
        <x:v>Chưa xác minh</x:v>
      </x:c>
      <x:c r="K48" s="9" t="str"/>
      <x:c r="L48" s="9" t="str">
        <x:v>Chưa kiểm tra</x:v>
      </x:c>
      <x:c r="M48" s="9" t="str"/>
      <x:c r="N48" s="10"/>
      <x:c r="O48" s="9" t="str"/>
      <x:c r="P48" s="9" t="str"/>
      <x:c r="Q48" s="10"/>
      <x:c r="R48" s="8" t="str">
        <x:f>IF(I48="Không áp dụng",IF(AND(S48&lt;&gt;"",M48&lt;&gt;"",ISNUMBER(N48)),"Không áp dụng đã duyệt","Chờ duyệt không áp dụng"),IF(I48&lt;&gt;"Có","Chưa chốt phạm vi",IF(J48="Chưa xác minh","Chưa đủ bằng chứng",IF(J48&lt;&gt;"Đầy đủ","Cần bổ sung triển khai",IF(K48="","Thiếu bằng chứng",IF(L48&lt;&gt;"Đạt",IF(L48="Không đạt","Cần khắc phục","Chưa kiểm tra"),IF(OR(M48="",NOT(ISNUMBER(N48))),"Chờ xác nhận","Đủ hồ sơ kiểm tra")))))))</x:f>
        <x:v>Chưa đủ bằng chứng</x:v>
      </x:c>
      <x:c r="S48" s="9" t="str"/>
    </x:row>
    <x:row r="49" ht="98" customHeight="1">
      <x:c r="A49" s="4" t="str">
        <x:v>TC-044</x:v>
      </x:c>
      <x:c r="B49" s="4" t="str">
        <x:v>Nhật ký</x:v>
      </x:c>
      <x:c r="C49" s="4" t="str">
        <x:v>TCVN 14423:2026
6.8.2.2 • tr.69</x:v>
      </x:c>
      <x:c r="D49" s="4" t="str">
        <x:v>Log nhà cung cấp
Thu nhật ký an ninh của các dịch vụ nhà cung cấp có kết nối/sử dụng.</x:v>
      </x:c>
      <x:c r="E49" s="4" t="str">
        <x:v>Kiểm tra truy xuất một sự kiện của bên cung cấp trong phạm vi.</x:v>
      </x:c>
      <x:c r="F49" s="4" t="str">
        <x:v>Hợp đồng; log nhận; biên bản đối soát.</x:v>
      </x:c>
      <x:c r="G49" s="4" t="str">
        <x:v>SOC</x:v>
      </x:c>
      <x:c r="H49" s="9" t="str">
        <x:v>DC Cầu Giấy và DR Nam Thăng Long</x:v>
      </x:c>
      <x:c r="I49" s="9" t="str">
        <x:v>Có</x:v>
      </x:c>
      <x:c r="J49" s="9" t="str">
        <x:v>Chưa xác minh</x:v>
      </x:c>
      <x:c r="K49" s="9" t="str"/>
      <x:c r="L49" s="9" t="str">
        <x:v>Chưa kiểm tra</x:v>
      </x:c>
      <x:c r="M49" s="9" t="str"/>
      <x:c r="N49" s="10"/>
      <x:c r="O49" s="9" t="str"/>
      <x:c r="P49" s="9" t="str"/>
      <x:c r="Q49" s="10"/>
      <x:c r="R49" s="4" t="str">
        <x:f>IF(I49="Không áp dụng",IF(AND(S49&lt;&gt;"",M49&lt;&gt;"",ISNUMBER(N49)),"Không áp dụng đã duyệt","Chờ duyệt không áp dụng"),IF(I49&lt;&gt;"Có","Chưa chốt phạm vi",IF(J49="Chưa xác minh","Chưa đủ bằng chứng",IF(J49&lt;&gt;"Đầy đủ","Cần bổ sung triển khai",IF(K49="","Thiếu bằng chứng",IF(L49&lt;&gt;"Đạt",IF(L49="Không đạt","Cần khắc phục","Chưa kiểm tra"),IF(OR(M49="",NOT(ISNUMBER(N49))),"Chờ xác nhận","Đủ hồ sơ kiểm tra")))))))</x:f>
        <x:v>Chưa đủ bằng chứng</x:v>
      </x:c>
      <x:c r="S49" s="9" t="str"/>
    </x:row>
    <x:row r="50" ht="98" customHeight="1">
      <x:c r="A50" s="8" t="str">
        <x:v>TC-045</x:v>
      </x:c>
      <x:c r="B50" s="8" t="str">
        <x:v>Nhật ký</x:v>
      </x:c>
      <x:c r="C50" s="8" t="str">
        <x:v>TCVN 14423:2026
6.8.2.3 • tr.69</x:v>
      </x:c>
      <x:c r="D50" s="8" t="str">
        <x:v>Bảo vệ nhật ký
Kiểm soát và ghi lịch sử truy cập; chống sửa/xóa; kho log ở hệ thống và vùng mạng riêng; mã hóa log quan trọng nếu có.</x:v>
      </x:c>
      <x:c r="E50" s="8" t="str">
        <x:v>Thử sửa/xóa bằng quyền cloud admin và xác minh bị ngăn hoặc cơ chế bảo vệ theo thiết kế.</x:v>
      </x:c>
      <x:c r="F50" s="8" t="str">
        <x:v>ACL; sơ đồ; retention lock; log thao tác kho.</x:v>
      </x:c>
      <x:c r="G50" s="8" t="str">
        <x:v>SOC</x:v>
      </x:c>
      <x:c r="H50" s="9" t="str">
        <x:v>DC Cầu Giấy và DR Nam Thăng Long</x:v>
      </x:c>
      <x:c r="I50" s="9" t="str">
        <x:v>Có</x:v>
      </x:c>
      <x:c r="J50" s="9" t="str">
        <x:v>Chưa xác minh</x:v>
      </x:c>
      <x:c r="K50" s="9" t="str"/>
      <x:c r="L50" s="9" t="str">
        <x:v>Chưa kiểm tra</x:v>
      </x:c>
      <x:c r="M50" s="9" t="str"/>
      <x:c r="N50" s="10"/>
      <x:c r="O50" s="9" t="str"/>
      <x:c r="P50" s="9" t="str"/>
      <x:c r="Q50" s="10"/>
      <x:c r="R50" s="8" t="str">
        <x:f>IF(I50="Không áp dụng",IF(AND(S50&lt;&gt;"",M50&lt;&gt;"",ISNUMBER(N50)),"Không áp dụng đã duyệt","Chờ duyệt không áp dụng"),IF(I50&lt;&gt;"Có","Chưa chốt phạm vi",IF(J50="Chưa xác minh","Chưa đủ bằng chứng",IF(J50&lt;&gt;"Đầy đủ","Cần bổ sung triển khai",IF(K50="","Thiếu bằng chứng",IF(L50&lt;&gt;"Đạt",IF(L50="Không đạt","Cần khắc phục","Chưa kiểm tra"),IF(OR(M50="",NOT(ISNUMBER(N50))),"Chờ xác nhận","Đủ hồ sơ kiểm tra")))))))</x:f>
        <x:v>Chưa đủ bằng chứng</x:v>
      </x:c>
      <x:c r="S50" s="9" t="str"/>
    </x:row>
    <x:row r="51" ht="98" customHeight="1">
      <x:c r="A51" s="4" t="str">
        <x:v>TC-046</x:v>
      </x:c>
      <x:c r="B51" s="4" t="str">
        <x:v>Web và email</x:v>
      </x:c>
      <x:c r="C51" s="4" t="str">
        <x:v>TCVN 14423:2026
6.9.2.1 • tr.69</x:v>
      </x:c>
      <x:c r="D51" s="4" t="str">
        <x:v>Trình duyệt và email
Danh mục được phép, còn hỗ trợ, vá thường xuyên hoặc kiểm soát tương đương; bảo vệ thư điện tử.</x:v>
      </x:c>
      <x:c r="E51" s="4" t="str">
        <x:v>Kiểm tra trình duyệt trên PAW và dịch vụ email vận hành.</x:v>
      </x:c>
      <x:c r="F51" s="4" t="str">
        <x:v>Danh mục; policy; phiên bản; giải pháp email.</x:v>
      </x:c>
      <x:c r="G51" s="4" t="str">
        <x:v>IT và SOC</x:v>
      </x:c>
      <x:c r="H51" s="9" t="str">
        <x:v>DC Cầu Giấy và DR Nam Thăng Long</x:v>
      </x:c>
      <x:c r="I51" s="9" t="str">
        <x:v>Có</x:v>
      </x:c>
      <x:c r="J51" s="9" t="str">
        <x:v>Chưa xác minh</x:v>
      </x:c>
      <x:c r="K51" s="9" t="str"/>
      <x:c r="L51" s="9" t="str">
        <x:v>Chưa kiểm tra</x:v>
      </x:c>
      <x:c r="M51" s="9" t="str"/>
      <x:c r="N51" s="10"/>
      <x:c r="O51" s="9" t="str"/>
      <x:c r="P51" s="9" t="str"/>
      <x:c r="Q51" s="10"/>
      <x:c r="R51" s="4" t="str">
        <x:f>IF(I51="Không áp dụng",IF(AND(S51&lt;&gt;"",M51&lt;&gt;"",ISNUMBER(N51)),"Không áp dụng đã duyệt","Chờ duyệt không áp dụng"),IF(I51&lt;&gt;"Có","Chưa chốt phạm vi",IF(J51="Chưa xác minh","Chưa đủ bằng chứng",IF(J51&lt;&gt;"Đầy đủ","Cần bổ sung triển khai",IF(K51="","Thiếu bằng chứng",IF(L51&lt;&gt;"Đạt",IF(L51="Không đạt","Cần khắc phục","Chưa kiểm tra"),IF(OR(M51="",NOT(ISNUMBER(N51))),"Chờ xác nhận","Đủ hồ sơ kiểm tra")))))))</x:f>
        <x:v>Chưa đủ bằng chứng</x:v>
      </x:c>
      <x:c r="S51" s="9" t="str"/>
    </x:row>
    <x:row r="52" ht="98" customHeight="1">
      <x:c r="A52" s="8" t="str">
        <x:v>TC-047</x:v>
      </x:c>
      <x:c r="B52" s="8" t="str">
        <x:v>Web và email</x:v>
      </x:c>
      <x:c r="C52" s="8" t="str">
        <x:v>TCVN 14423:2026
6.9.2.2 • tr.69</x:v>
      </x:c>
      <x:c r="D52" s="8" t="str">
        <x:v>Lọc tên miền
Chặn tên miền độc hại và giả mạo bằng dịch vụ lọc tên miền.</x:v>
      </x:c>
      <x:c r="E52" s="8" t="str">
        <x:v>Thử tên miền kiểm thử an toàn do công cụ cung cấp.</x:v>
      </x:c>
      <x:c r="F52" s="8" t="str">
        <x:v>Cấu hình; feed; log thử.</x:v>
      </x:c>
      <x:c r="G52" s="8" t="str">
        <x:v>IT và SOC</x:v>
      </x:c>
      <x:c r="H52" s="9" t="str">
        <x:v>DC Cầu Giấy và DR Nam Thăng Long</x:v>
      </x:c>
      <x:c r="I52" s="9" t="str">
        <x:v>Có</x:v>
      </x:c>
      <x:c r="J52" s="9" t="str">
        <x:v>Chưa xác minh</x:v>
      </x:c>
      <x:c r="K52" s="9" t="str"/>
      <x:c r="L52" s="9" t="str">
        <x:v>Chưa kiểm tra</x:v>
      </x:c>
      <x:c r="M52" s="9" t="str"/>
      <x:c r="N52" s="10"/>
      <x:c r="O52" s="9" t="str"/>
      <x:c r="P52" s="9" t="str"/>
      <x:c r="Q52" s="10"/>
      <x:c r="R52" s="8" t="str">
        <x:f>IF(I52="Không áp dụng",IF(AND(S52&lt;&gt;"",M52&lt;&gt;"",ISNUMBER(N52)),"Không áp dụng đã duyệt","Chờ duyệt không áp dụng"),IF(I52&lt;&gt;"Có","Chưa chốt phạm vi",IF(J52="Chưa xác minh","Chưa đủ bằng chứng",IF(J52&lt;&gt;"Đầy đủ","Cần bổ sung triển khai",IF(K52="","Thiếu bằng chứng",IF(L52&lt;&gt;"Đạt",IF(L52="Không đạt","Cần khắc phục","Chưa kiểm tra"),IF(OR(M52="",NOT(ISNUMBER(N52))),"Chờ xác nhận","Đủ hồ sơ kiểm tra")))))))</x:f>
        <x:v>Chưa đủ bằng chứng</x:v>
      </x:c>
      <x:c r="S52" s="9" t="str"/>
    </x:row>
    <x:row r="53" ht="98" customHeight="1">
      <x:c r="A53" s="4" t="str">
        <x:v>TC-048</x:v>
      </x:c>
      <x:c r="B53" s="4" t="str">
        <x:v>Web và email</x:v>
      </x:c>
      <x:c r="C53" s="4" t="str">
        <x:v>TCVN 14423:2026
6.9.2.3 • tr.69</x:v>
      </x:c>
      <x:c r="D53" s="4" t="str">
        <x:v>Lọc URL
Cập nhật bộ lọc URL, hạn chế kết nối tới web độc hại/không được phép.</x:v>
      </x:c>
      <x:c r="E53" s="4" t="str">
        <x:v>Thử URL thuộc nhóm chặn và kiểm tra cảnh báo.</x:v>
      </x:c>
      <x:c r="F53" s="4" t="str">
        <x:v>Policy URL; lịch cập nhật; log.</x:v>
      </x:c>
      <x:c r="G53" s="4" t="str">
        <x:v>IT và SOC</x:v>
      </x:c>
      <x:c r="H53" s="9" t="str">
        <x:v>DC Cầu Giấy và DR Nam Thăng Long</x:v>
      </x:c>
      <x:c r="I53" s="9" t="str">
        <x:v>Có</x:v>
      </x:c>
      <x:c r="J53" s="9" t="str">
        <x:v>Chưa xác minh</x:v>
      </x:c>
      <x:c r="K53" s="9" t="str"/>
      <x:c r="L53" s="9" t="str">
        <x:v>Chưa kiểm tra</x:v>
      </x:c>
      <x:c r="M53" s="9" t="str"/>
      <x:c r="N53" s="10"/>
      <x:c r="O53" s="9" t="str"/>
      <x:c r="P53" s="9" t="str"/>
      <x:c r="Q53" s="10"/>
      <x:c r="R53" s="4" t="str">
        <x:f>IF(I53="Không áp dụng",IF(AND(S53&lt;&gt;"",M53&lt;&gt;"",ISNUMBER(N53)),"Không áp dụng đã duyệt","Chờ duyệt không áp dụng"),IF(I53&lt;&gt;"Có","Chưa chốt phạm vi",IF(J53="Chưa xác minh","Chưa đủ bằng chứng",IF(J53&lt;&gt;"Đầy đủ","Cần bổ sung triển khai",IF(K53="","Thiếu bằng chứng",IF(L53&lt;&gt;"Đạt",IF(L53="Không đạt","Cần khắc phục","Chưa kiểm tra"),IF(OR(M53="",NOT(ISNUMBER(N53))),"Chờ xác nhận","Đủ hồ sơ kiểm tra")))))))</x:f>
        <x:v>Chưa đủ bằng chứng</x:v>
      </x:c>
      <x:c r="S53" s="9" t="str"/>
    </x:row>
    <x:row r="54" ht="98" customHeight="1">
      <x:c r="A54" s="8" t="str">
        <x:v>TC-049</x:v>
      </x:c>
      <x:c r="B54" s="8" t="str">
        <x:v>Web và email</x:v>
      </x:c>
      <x:c r="C54" s="8" t="str">
        <x:v>TCVN 14423:2026
6.9.2.4 • tr.69</x:v>
      </x:c>
      <x:c r="D54" s="8" t="str">
        <x:v>Tiện ích mở rộng
Danh sách được phép; kiểm soát cài đặt, gỡ/vô hiệu tiện ích trái phép.</x:v>
      </x:c>
      <x:c r="E54" s="8" t="str">
        <x:v>Thử cài extension không được phép trên máy thử.</x:v>
      </x:c>
      <x:c r="F54" s="8" t="str">
        <x:v>Allowlist; policy; inventory extension.</x:v>
      </x:c>
      <x:c r="G54" s="8" t="str">
        <x:v>IT và SOC</x:v>
      </x:c>
      <x:c r="H54" s="9" t="str">
        <x:v>DC Cầu Giấy và DR Nam Thăng Long</x:v>
      </x:c>
      <x:c r="I54" s="9" t="str">
        <x:v>Có</x:v>
      </x:c>
      <x:c r="J54" s="9" t="str">
        <x:v>Chưa xác minh</x:v>
      </x:c>
      <x:c r="K54" s="9" t="str"/>
      <x:c r="L54" s="9" t="str">
        <x:v>Chưa kiểm tra</x:v>
      </x:c>
      <x:c r="M54" s="9" t="str"/>
      <x:c r="N54" s="10"/>
      <x:c r="O54" s="9" t="str"/>
      <x:c r="P54" s="9" t="str"/>
      <x:c r="Q54" s="10"/>
      <x:c r="R54" s="8" t="str">
        <x:f>IF(I54="Không áp dụng",IF(AND(S54&lt;&gt;"",M54&lt;&gt;"",ISNUMBER(N54)),"Không áp dụng đã duyệt","Chờ duyệt không áp dụng"),IF(I54&lt;&gt;"Có","Chưa chốt phạm vi",IF(J54="Chưa xác minh","Chưa đủ bằng chứng",IF(J54&lt;&gt;"Đầy đủ","Cần bổ sung triển khai",IF(K54="","Thiếu bằng chứng",IF(L54&lt;&gt;"Đạt",IF(L54="Không đạt","Cần khắc phục","Chưa kiểm tra"),IF(OR(M54="",NOT(ISNUMBER(N54))),"Chờ xác nhận","Đủ hồ sơ kiểm tra")))))))</x:f>
        <x:v>Chưa đủ bằng chứng</x:v>
      </x:c>
      <x:c r="S54" s="9" t="str"/>
    </x:row>
    <x:row r="55" ht="98" customHeight="1">
      <x:c r="A55" s="4" t="str">
        <x:v>TC-050</x:v>
      </x:c>
      <x:c r="B55" s="4" t="str">
        <x:v>Web và email</x:v>
      </x:c>
      <x:c r="C55" s="4" t="str">
        <x:v>TCVN 14423:2026
6.9.2.5 • tr.70</x:v>
      </x:c>
      <x:c r="D55" s="4" t="str">
        <x:v>Xác thực email
Áp dụng DMARC để hạn chế giả mạo tên miền tổ chức.</x:v>
      </x:c>
      <x:c r="E55" s="4" t="str">
        <x:v>Xác minh alignment và xử lý thư giả mạo trong môi trường thử.</x:v>
      </x:c>
      <x:c r="F55" s="4" t="str">
        <x:v>DNS record; cấu hình mail; báo cáo DMARC.</x:v>
      </x:c>
      <x:c r="G55" s="4" t="str">
        <x:v>IT và SOC</x:v>
      </x:c>
      <x:c r="H55" s="9" t="str">
        <x:v>DC Cầu Giấy và DR Nam Thăng Long</x:v>
      </x:c>
      <x:c r="I55" s="9" t="str">
        <x:v>Có</x:v>
      </x:c>
      <x:c r="J55" s="9" t="str">
        <x:v>Chưa xác minh</x:v>
      </x:c>
      <x:c r="K55" s="9" t="str"/>
      <x:c r="L55" s="9" t="str">
        <x:v>Chưa kiểm tra</x:v>
      </x:c>
      <x:c r="M55" s="9" t="str"/>
      <x:c r="N55" s="10"/>
      <x:c r="O55" s="9" t="str"/>
      <x:c r="P55" s="9" t="str"/>
      <x:c r="Q55" s="10"/>
      <x:c r="R55" s="4" t="str">
        <x:f>IF(I55="Không áp dụng",IF(AND(S55&lt;&gt;"",M55&lt;&gt;"",ISNUMBER(N55)),"Không áp dụng đã duyệt","Chờ duyệt không áp dụng"),IF(I55&lt;&gt;"Có","Chưa chốt phạm vi",IF(J55="Chưa xác minh","Chưa đủ bằng chứng",IF(J55&lt;&gt;"Đầy đủ","Cần bổ sung triển khai",IF(K55="","Thiếu bằng chứng",IF(L55&lt;&gt;"Đạt",IF(L55="Không đạt","Cần khắc phục","Chưa kiểm tra"),IF(OR(M55="",NOT(ISNUMBER(N55))),"Chờ xác nhận","Đủ hồ sơ kiểm tra")))))))</x:f>
        <x:v>Chưa đủ bằng chứng</x:v>
      </x:c>
      <x:c r="S55" s="9" t="str"/>
    </x:row>
    <x:row r="56" ht="98" customHeight="1">
      <x:c r="A56" s="8" t="str">
        <x:v>TC-051</x:v>
      </x:c>
      <x:c r="B56" s="8" t="str">
        <x:v>Web và email</x:v>
      </x:c>
      <x:c r="C56" s="8" t="str">
        <x:v>TCVN 14423:2026
6.9.2.6 • tr.70</x:v>
      </x:c>
      <x:c r="D56" s="8" t="str">
        <x:v>Tệp đính kèm
Quy định loại tệp được phép; chặn ngoài danh mục và kiểm soát thư có tệp đính kèm.</x:v>
      </x:c>
      <x:c r="E56" s="8" t="str">
        <x:v>Gửi tệp thử được phép và bị cấm tới hộp thử.</x:v>
      </x:c>
      <x:c r="F56" s="8" t="str">
        <x:v>Danh sách; cấu hình; log thử.</x:v>
      </x:c>
      <x:c r="G56" s="8" t="str">
        <x:v>IT và SOC</x:v>
      </x:c>
      <x:c r="H56" s="9" t="str">
        <x:v>DC Cầu Giấy và DR Nam Thăng Long</x:v>
      </x:c>
      <x:c r="I56" s="9" t="str">
        <x:v>Có</x:v>
      </x:c>
      <x:c r="J56" s="9" t="str">
        <x:v>Chưa xác minh</x:v>
      </x:c>
      <x:c r="K56" s="9" t="str"/>
      <x:c r="L56" s="9" t="str">
        <x:v>Chưa kiểm tra</x:v>
      </x:c>
      <x:c r="M56" s="9" t="str"/>
      <x:c r="N56" s="10"/>
      <x:c r="O56" s="9" t="str"/>
      <x:c r="P56" s="9" t="str"/>
      <x:c r="Q56" s="10"/>
      <x:c r="R56" s="8" t="str">
        <x:f>IF(I56="Không áp dụng",IF(AND(S56&lt;&gt;"",M56&lt;&gt;"",ISNUMBER(N56)),"Không áp dụng đã duyệt","Chờ duyệt không áp dụng"),IF(I56&lt;&gt;"Có","Chưa chốt phạm vi",IF(J56="Chưa xác minh","Chưa đủ bằng chứng",IF(J56&lt;&gt;"Đầy đủ","Cần bổ sung triển khai",IF(K56="","Thiếu bằng chứng",IF(L56&lt;&gt;"Đạt",IF(L56="Không đạt","Cần khắc phục","Chưa kiểm tra"),IF(OR(M56="",NOT(ISNUMBER(N56))),"Chờ xác nhận","Đủ hồ sơ kiểm tra")))))))</x:f>
        <x:v>Chưa đủ bằng chứng</x:v>
      </x:c>
      <x:c r="S56" s="9" t="str"/>
    </x:row>
    <x:row r="57" ht="98" customHeight="1">
      <x:c r="A57" s="4" t="str">
        <x:v>TC-052</x:v>
      </x:c>
      <x:c r="B57" s="4" t="str">
        <x:v>Chống mã độc</x:v>
      </x:c>
      <x:c r="C57" s="4" t="str">
        <x:v>TCVN 14423:2026
6.10.1; 6.10.2.1 • tr.70</x:v>
      </x:c>
      <x:c r="D57" s="4" t="str">
        <x:v>Bảo vệ mã độc
Có quy định chống mã độc; bảo vệ tài sản và điểm kết nối; máy chủ/máy người dùng có bảo vệ thời gian thực, hành vi, cập nhật tự động hoặc tương đương.</x:v>
      </x:c>
      <x:c r="E57" s="4" t="str">
        <x:v>So CMDB với console EDR và dùng mẫu thử an toàn.</x:v>
      </x:c>
      <x:c r="F57" s="4" t="str">
        <x:v>Policy; độ phủ; phiên bản agent; ngoại lệ.</x:v>
      </x:c>
      <x:c r="G57" s="4" t="str">
        <x:v>SecOps</x:v>
      </x:c>
      <x:c r="H57" s="9" t="str">
        <x:v>DC Cầu Giấy và DR Nam Thăng Long</x:v>
      </x:c>
      <x:c r="I57" s="9" t="str">
        <x:v>Có</x:v>
      </x:c>
      <x:c r="J57" s="9" t="str">
        <x:v>Chưa xác minh</x:v>
      </x:c>
      <x:c r="K57" s="9" t="str"/>
      <x:c r="L57" s="9" t="str">
        <x:v>Chưa kiểm tra</x:v>
      </x:c>
      <x:c r="M57" s="9" t="str"/>
      <x:c r="N57" s="10"/>
      <x:c r="O57" s="9" t="str"/>
      <x:c r="P57" s="9" t="str"/>
      <x:c r="Q57" s="10"/>
      <x:c r="R57" s="4" t="str">
        <x:f>IF(I57="Không áp dụng",IF(AND(S57&lt;&gt;"",M57&lt;&gt;"",ISNUMBER(N57)),"Không áp dụng đã duyệt","Chờ duyệt không áp dụng"),IF(I57&lt;&gt;"Có","Chưa chốt phạm vi",IF(J57="Chưa xác minh","Chưa đủ bằng chứng",IF(J57&lt;&gt;"Đầy đủ","Cần bổ sung triển khai",IF(K57="","Thiếu bằng chứng",IF(L57&lt;&gt;"Đạt",IF(L57="Không đạt","Cần khắc phục","Chưa kiểm tra"),IF(OR(M57="",NOT(ISNUMBER(N57))),"Chờ xác nhận","Đủ hồ sơ kiểm tra")))))))</x:f>
        <x:v>Chưa đủ bằng chứng</x:v>
      </x:c>
      <x:c r="S57" s="9" t="str"/>
    </x:row>
    <x:row r="58" ht="98" customHeight="1">
      <x:c r="A58" s="8" t="str">
        <x:v>TC-053</x:v>
      </x:c>
      <x:c r="B58" s="8" t="str">
        <x:v>Chống mã độc</x:v>
      </x:c>
      <x:c r="C58" s="8" t="str">
        <x:v>TCVN 14423:2026
6.10.2.2 • tr.70</x:v>
      </x:c>
      <x:c r="D58" s="8" t="str">
        <x:v>Thiết bị lưu trữ ngoài
Quét media di động và vô hiệu tự thực thi.</x:v>
      </x:c>
      <x:c r="E58" s="8" t="str">
        <x:v>Thử USB mẫu trên thiết bị được duyệt.</x:v>
      </x:c>
      <x:c r="F58" s="8" t="str">
        <x:v>Policy; log cắm thiết bị và scan.</x:v>
      </x:c>
      <x:c r="G58" s="8" t="str">
        <x:v>SecOps</x:v>
      </x:c>
      <x:c r="H58" s="9" t="str">
        <x:v>DC Cầu Giấy và DR Nam Thăng Long</x:v>
      </x:c>
      <x:c r="I58" s="9" t="str">
        <x:v>Có</x:v>
      </x:c>
      <x:c r="J58" s="9" t="str">
        <x:v>Chưa xác minh</x:v>
      </x:c>
      <x:c r="K58" s="9" t="str"/>
      <x:c r="L58" s="9" t="str">
        <x:v>Chưa kiểm tra</x:v>
      </x:c>
      <x:c r="M58" s="9" t="str"/>
      <x:c r="N58" s="10"/>
      <x:c r="O58" s="9" t="str"/>
      <x:c r="P58" s="9" t="str"/>
      <x:c r="Q58" s="10"/>
      <x:c r="R58" s="8" t="str">
        <x:f>IF(I58="Không áp dụng",IF(AND(S58&lt;&gt;"",M58&lt;&gt;"",ISNUMBER(N58)),"Không áp dụng đã duyệt","Chờ duyệt không áp dụng"),IF(I58&lt;&gt;"Có","Chưa chốt phạm vi",IF(J58="Chưa xác minh","Chưa đủ bằng chứng",IF(J58&lt;&gt;"Đầy đủ","Cần bổ sung triển khai",IF(K58="","Thiếu bằng chứng",IF(L58&lt;&gt;"Đạt",IF(L58="Không đạt","Cần khắc phục","Chưa kiểm tra"),IF(OR(M58="",NOT(ISNUMBER(N58))),"Chờ xác nhận","Đủ hồ sơ kiểm tra")))))))</x:f>
        <x:v>Chưa đủ bằng chứng</x:v>
      </x:c>
      <x:c r="S58" s="9" t="str"/>
    </x:row>
    <x:row r="59" ht="98" customHeight="1">
      <x:c r="A59" s="4" t="str">
        <x:v>TC-054</x:v>
      </x:c>
      <x:c r="B59" s="4" t="str">
        <x:v>Chống mã độc</x:v>
      </x:c>
      <x:c r="C59" s="4" t="str">
        <x:v>TCVN 14423:2026
6.10.2.3 • tr.70</x:v>
      </x:c>
      <x:c r="D59" s="4" t="str">
        <x:v>Quản lý chống mã độc tập trung
Quản lý cập nhật, cảnh báo và cấu hình tập trung.</x:v>
      </x:c>
      <x:c r="E59" s="4" t="str">
        <x:v>Tạm dừng agent thử và kiểm tra cảnh báo.</x:v>
      </x:c>
      <x:c r="F59" s="4" t="str">
        <x:v>Console; chính sách; log cập nhật.</x:v>
      </x:c>
      <x:c r="G59" s="4" t="str">
        <x:v>SecOps</x:v>
      </x:c>
      <x:c r="H59" s="9" t="str">
        <x:v>DC Cầu Giấy và DR Nam Thăng Long</x:v>
      </x:c>
      <x:c r="I59" s="9" t="str">
        <x:v>Có</x:v>
      </x:c>
      <x:c r="J59" s="9" t="str">
        <x:v>Chưa xác minh</x:v>
      </x:c>
      <x:c r="K59" s="9" t="str"/>
      <x:c r="L59" s="9" t="str">
        <x:v>Chưa kiểm tra</x:v>
      </x:c>
      <x:c r="M59" s="9" t="str"/>
      <x:c r="N59" s="10"/>
      <x:c r="O59" s="9" t="str"/>
      <x:c r="P59" s="9" t="str"/>
      <x:c r="Q59" s="10"/>
      <x:c r="R59" s="4" t="str">
        <x:f>IF(I59="Không áp dụng",IF(AND(S59&lt;&gt;"",M59&lt;&gt;"",ISNUMBER(N59)),"Không áp dụng đã duyệt","Chờ duyệt không áp dụng"),IF(I59&lt;&gt;"Có","Chưa chốt phạm vi",IF(J59="Chưa xác minh","Chưa đủ bằng chứng",IF(J59&lt;&gt;"Đầy đủ","Cần bổ sung triển khai",IF(K59="","Thiếu bằng chứng",IF(L59&lt;&gt;"Đạt",IF(L59="Không đạt","Cần khắc phục","Chưa kiểm tra"),IF(OR(M59="",NOT(ISNUMBER(N59))),"Chờ xác nhận","Đủ hồ sơ kiểm tra")))))))</x:f>
        <x:v>Chưa đủ bằng chứng</x:v>
      </x:c>
      <x:c r="S59" s="9" t="str"/>
    </x:row>
    <x:row r="60" ht="98" customHeight="1">
      <x:c r="A60" s="8" t="str">
        <x:v>TC-055</x:v>
      </x:c>
      <x:c r="B60" s="8" t="str">
        <x:v>Chống mã độc</x:v>
      </x:c>
      <x:c r="C60" s="8" t="str">
        <x:v>TCVN 14423:2026
6.10.2.4 • tr.70</x:v>
      </x:c>
      <x:c r="D60" s="8" t="str">
        <x:v>Chống khai thác
Bật khả năng chống khai thác lỗ hổng trên tài sản nếu có.</x:v>
      </x:c>
      <x:c r="E60" s="8" t="str">
        <x:v>Đối chiếu trạng thái bật và ngoại lệ được duyệt.</x:v>
      </x:c>
      <x:c r="F60" s="8" t="str">
        <x:v>Cấu hình; ma trận tương thích; thử nghiệm.</x:v>
      </x:c>
      <x:c r="G60" s="8" t="str">
        <x:v>SecOps</x:v>
      </x:c>
      <x:c r="H60" s="9" t="str">
        <x:v>DC Cầu Giấy và DR Nam Thăng Long</x:v>
      </x:c>
      <x:c r="I60" s="9" t="str">
        <x:v>Có</x:v>
      </x:c>
      <x:c r="J60" s="9" t="str">
        <x:v>Chưa xác minh</x:v>
      </x:c>
      <x:c r="K60" s="9" t="str"/>
      <x:c r="L60" s="9" t="str">
        <x:v>Chưa kiểm tra</x:v>
      </x:c>
      <x:c r="M60" s="9" t="str"/>
      <x:c r="N60" s="10"/>
      <x:c r="O60" s="9" t="str"/>
      <x:c r="P60" s="9" t="str"/>
      <x:c r="Q60" s="10"/>
      <x:c r="R60" s="8" t="str">
        <x:f>IF(I60="Không áp dụng",IF(AND(S60&lt;&gt;"",M60&lt;&gt;"",ISNUMBER(N60)),"Không áp dụng đã duyệt","Chờ duyệt không áp dụng"),IF(I60&lt;&gt;"Có","Chưa chốt phạm vi",IF(J60="Chưa xác minh","Chưa đủ bằng chứng",IF(J60&lt;&gt;"Đầy đủ","Cần bổ sung triển khai",IF(K60="","Thiếu bằng chứng",IF(L60&lt;&gt;"Đạt",IF(L60="Không đạt","Cần khắc phục","Chưa kiểm tra"),IF(OR(M60="",NOT(ISNUMBER(N60))),"Chờ xác nhận","Đủ hồ sơ kiểm tra")))))))</x:f>
        <x:v>Chưa đủ bằng chứng</x:v>
      </x:c>
      <x:c r="S60" s="9" t="str"/>
    </x:row>
    <x:row r="61" ht="98" customHeight="1">
      <x:c r="A61" s="4" t="str">
        <x:v>TC-056</x:v>
      </x:c>
      <x:c r="B61" s="4" t="str">
        <x:v>Chống mã độc</x:v>
      </x:c>
      <x:c r="C61" s="4" t="str">
        <x:v>TCVN 14423:2026
6.10.2.5 • tr.71</x:v>
      </x:c>
      <x:c r="D61" s="4" t="str">
        <x:v>Phát hiện hành vi
EDR hoặc tương đương trên máy chủ/máy người dùng, gửi SIEM và cảnh báo thời gian thực.</x:v>
      </x:c>
      <x:c r="E61" s="4" t="str">
        <x:v>Dùng mô phỏng an toàn để đo phát hiện và tạo ticket.</x:v>
      </x:c>
      <x:c r="F61" s="4" t="str">
        <x:v>Mẫu sự kiện; rule; ticket phản ứng.</x:v>
      </x:c>
      <x:c r="G61" s="4" t="str">
        <x:v>SecOps</x:v>
      </x:c>
      <x:c r="H61" s="9" t="str">
        <x:v>DC Cầu Giấy và DR Nam Thăng Long</x:v>
      </x:c>
      <x:c r="I61" s="9" t="str">
        <x:v>Có</x:v>
      </x:c>
      <x:c r="J61" s="9" t="str">
        <x:v>Chưa xác minh</x:v>
      </x:c>
      <x:c r="K61" s="9" t="str"/>
      <x:c r="L61" s="9" t="str">
        <x:v>Chưa kiểm tra</x:v>
      </x:c>
      <x:c r="M61" s="9" t="str"/>
      <x:c r="N61" s="10"/>
      <x:c r="O61" s="9" t="str"/>
      <x:c r="P61" s="9" t="str"/>
      <x:c r="Q61" s="10"/>
      <x:c r="R61" s="4" t="str">
        <x:f>IF(I61="Không áp dụng",IF(AND(S61&lt;&gt;"",M61&lt;&gt;"",ISNUMBER(N61)),"Không áp dụng đã duyệt","Chờ duyệt không áp dụng"),IF(I61&lt;&gt;"Có","Chưa chốt phạm vi",IF(J61="Chưa xác minh","Chưa đủ bằng chứng",IF(J61&lt;&gt;"Đầy đủ","Cần bổ sung triển khai",IF(K61="","Thiếu bằng chứng",IF(L61&lt;&gt;"Đạt",IF(L61="Không đạt","Cần khắc phục","Chưa kiểm tra"),IF(OR(M61="",NOT(ISNUMBER(N61))),"Chờ xác nhận","Đủ hồ sơ kiểm tra")))))))</x:f>
        <x:v>Chưa đủ bằng chứng</x:v>
      </x:c>
      <x:c r="S61" s="9" t="str"/>
    </x:row>
    <x:row r="62" ht="98" customHeight="1">
      <x:c r="A62" s="8" t="str">
        <x:v>TC-057</x:v>
      </x:c>
      <x:c r="B62" s="8" t="str">
        <x:v>Sao lưu</x:v>
      </x:c>
      <x:c r="C62" s="8" t="str">
        <x:v>TCVN 14423:2026
6.11.2.1 • tr.71</x:v>
      </x:c>
      <x:c r="D62" s="8" t="str">
        <x:v>Quy trình sao lưu
Định nghĩa dữ liệu, tần suất, phương pháp, kho, thử khôi phục; gồm cấu hình, ảnh OS, DB và nghiệp vụ; sẵn sàng cao; rà soát hằng năm/khi đổi.</x:v>
      </x:c>
      <x:c r="E62" s="8" t="str">
        <x:v>Đối chiếu một dịch vụ có đủ dữ liệu và bí mật để dựng lại.</x:v>
      </x:c>
      <x:c r="F62" s="8" t="str">
        <x:v>Policy; catalog job; bản đồ phụ thuộc; BIA.</x:v>
      </x:c>
      <x:c r="G62" s="8" t="str">
        <x:v>Backup và Platform</x:v>
      </x:c>
      <x:c r="H62" s="9" t="str">
        <x:v>DC Cầu Giấy và DR Nam Thăng Long</x:v>
      </x:c>
      <x:c r="I62" s="9" t="str">
        <x:v>Có</x:v>
      </x:c>
      <x:c r="J62" s="9" t="str">
        <x:v>Chưa xác minh</x:v>
      </x:c>
      <x:c r="K62" s="9" t="str"/>
      <x:c r="L62" s="9" t="str">
        <x:v>Chưa kiểm tra</x:v>
      </x:c>
      <x:c r="M62" s="9" t="str"/>
      <x:c r="N62" s="10"/>
      <x:c r="O62" s="9" t="str"/>
      <x:c r="P62" s="9" t="str"/>
      <x:c r="Q62" s="10"/>
      <x:c r="R62" s="8" t="str">
        <x:f>IF(I62="Không áp dụng",IF(AND(S62&lt;&gt;"",M62&lt;&gt;"",ISNUMBER(N62)),"Không áp dụng đã duyệt","Chờ duyệt không áp dụng"),IF(I62&lt;&gt;"Có","Chưa chốt phạm vi",IF(J62="Chưa xác minh","Chưa đủ bằng chứng",IF(J62&lt;&gt;"Đầy đủ","Cần bổ sung triển khai",IF(K62="","Thiếu bằng chứng",IF(L62&lt;&gt;"Đạt",IF(L62="Không đạt","Cần khắc phục","Chưa kiểm tra"),IF(OR(M62="",NOT(ISNUMBER(N62))),"Chờ xác nhận","Đủ hồ sơ kiểm tra")))))))</x:f>
        <x:v>Chưa đủ bằng chứng</x:v>
      </x:c>
      <x:c r="S62" s="9" t="str"/>
    </x:row>
    <x:row r="63" ht="98" customHeight="1">
      <x:c r="A63" s="4" t="str">
        <x:v>TC-058</x:v>
      </x:c>
      <x:c r="B63" s="4" t="str">
        <x:v>Sao lưu</x:v>
      </x:c>
      <x:c r="C63" s="4" t="str">
        <x:v>TCVN 14423:2026
6.11.2.2 • tr.71</x:v>
      </x:c>
      <x:c r="D63" s="4" t="str">
        <x:v>Sao lưu tự động
Phân loại lịch và tự động sao lưu theo từng loại dữ liệu.</x:v>
      </x:c>
      <x:c r="E63" s="4" t="str">
        <x:v>Thử một job thất bại và kiểm tra phát hiện/chạy bù.</x:v>
      </x:c>
      <x:c r="F63" s="4" t="str">
        <x:v>Lịch job; log; cảnh báo thất bại.</x:v>
      </x:c>
      <x:c r="G63" s="4" t="str">
        <x:v>Backup và Platform</x:v>
      </x:c>
      <x:c r="H63" s="9" t="str">
        <x:v>DC Cầu Giấy và DR Nam Thăng Long</x:v>
      </x:c>
      <x:c r="I63" s="9" t="str">
        <x:v>Có</x:v>
      </x:c>
      <x:c r="J63" s="9" t="str">
        <x:v>Chưa xác minh</x:v>
      </x:c>
      <x:c r="K63" s="9" t="str"/>
      <x:c r="L63" s="9" t="str">
        <x:v>Chưa kiểm tra</x:v>
      </x:c>
      <x:c r="M63" s="9" t="str"/>
      <x:c r="N63" s="10"/>
      <x:c r="O63" s="9" t="str"/>
      <x:c r="P63" s="9" t="str"/>
      <x:c r="Q63" s="10"/>
      <x:c r="R63" s="4" t="str">
        <x:f>IF(I63="Không áp dụng",IF(AND(S63&lt;&gt;"",M63&lt;&gt;"",ISNUMBER(N63)),"Không áp dụng đã duyệt","Chờ duyệt không áp dụng"),IF(I63&lt;&gt;"Có","Chưa chốt phạm vi",IF(J63="Chưa xác minh","Chưa đủ bằng chứng",IF(J63&lt;&gt;"Đầy đủ","Cần bổ sung triển khai",IF(K63="","Thiếu bằng chứng",IF(L63&lt;&gt;"Đạt",IF(L63="Không đạt","Cần khắc phục","Chưa kiểm tra"),IF(OR(M63="",NOT(ISNUMBER(N63))),"Chờ xác nhận","Đủ hồ sơ kiểm tra")))))))</x:f>
        <x:v>Chưa đủ bằng chứng</x:v>
      </x:c>
      <x:c r="S63" s="9" t="str"/>
    </x:row>
    <x:row r="64" ht="98" customHeight="1">
      <x:c r="A64" s="8" t="str">
        <x:v>TC-059</x:v>
      </x:c>
      <x:c r="B64" s="8" t="str">
        <x:v>Sao lưu</x:v>
      </x:c>
      <x:c r="C64" s="8" t="str">
        <x:v>TCVN 14423:2026
6.11.2.3 • tr.71–72</x:v>
      </x:c>
      <x:c r="D64" s="8" t="str">
        <x:v>Bảo vệ bản sao
Áp dụng 3-2-1 hoặc tương đương; mã hóa bản sao dữ liệu quan trọng, nhạy cảm.</x:v>
      </x:c>
      <x:c r="E64" s="8" t="str">
        <x:v>Kiểm tra khả năng truy cập/khôi phục khi nguồn sản xuất bị mất.</x:v>
      </x:c>
      <x:c r="F64" s="8" t="str">
        <x:v>Sơ đồ bản sao; quyền; cấu hình mã hóa; đánh giá tương đương.</x:v>
      </x:c>
      <x:c r="G64" s="8" t="str">
        <x:v>Backup và Platform</x:v>
      </x:c>
      <x:c r="H64" s="9" t="str">
        <x:v>DC Cầu Giấy và DR Nam Thăng Long</x:v>
      </x:c>
      <x:c r="I64" s="9" t="str">
        <x:v>Có</x:v>
      </x:c>
      <x:c r="J64" s="9" t="str">
        <x:v>Chưa xác minh</x:v>
      </x:c>
      <x:c r="K64" s="9" t="str"/>
      <x:c r="L64" s="9" t="str">
        <x:v>Chưa kiểm tra</x:v>
      </x:c>
      <x:c r="M64" s="9" t="str"/>
      <x:c r="N64" s="10"/>
      <x:c r="O64" s="9" t="str"/>
      <x:c r="P64" s="9" t="str"/>
      <x:c r="Q64" s="10"/>
      <x:c r="R64" s="8" t="str">
        <x:f>IF(I64="Không áp dụng",IF(AND(S64&lt;&gt;"",M64&lt;&gt;"",ISNUMBER(N64)),"Không áp dụng đã duyệt","Chờ duyệt không áp dụng"),IF(I64&lt;&gt;"Có","Chưa chốt phạm vi",IF(J64="Chưa xác minh","Chưa đủ bằng chứng",IF(J64&lt;&gt;"Đầy đủ","Cần bổ sung triển khai",IF(K64="","Thiếu bằng chứng",IF(L64&lt;&gt;"Đạt",IF(L64="Không đạt","Cần khắc phục","Chưa kiểm tra"),IF(OR(M64="",NOT(ISNUMBER(N64))),"Chờ xác nhận","Đủ hồ sơ kiểm tra")))))))</x:f>
        <x:v>Chưa đủ bằng chứng</x:v>
      </x:c>
      <x:c r="S64" s="9" t="str"/>
    </x:row>
    <x:row r="65" ht="98" customHeight="1">
      <x:c r="A65" s="4" t="str">
        <x:v>TC-060</x:v>
      </x:c>
      <x:c r="B65" s="4" t="str">
        <x:v>Sao lưu</x:v>
      </x:c>
      <x:c r="C65" s="4" t="str">
        <x:v>TCVN 14423:2026
6.11.2.4 • tr.72</x:v>
      </x:c>
      <x:c r="D65" s="4" t="str">
        <x:v>Kho sao lưu tách biệt
Định danh, quản lý phiên bản và lưu trên hạ tầng độc lập với môi trường vận hành.</x:v>
      </x:c>
      <x:c r="E65" s="4" t="str">
        <x:v>Kiểm tra cloud admin không xóa được toàn bộ bản sao độc lập.</x:v>
      </x:c>
      <x:c r="F65" s="4" t="str">
        <x:v>Inventory repository; sơ đồ; versioning; ACL.</x:v>
      </x:c>
      <x:c r="G65" s="4" t="str">
        <x:v>Backup và Platform</x:v>
      </x:c>
      <x:c r="H65" s="9" t="str">
        <x:v>DC Cầu Giấy và DR Nam Thăng Long</x:v>
      </x:c>
      <x:c r="I65" s="9" t="str">
        <x:v>Có</x:v>
      </x:c>
      <x:c r="J65" s="9" t="str">
        <x:v>Chưa xác minh</x:v>
      </x:c>
      <x:c r="K65" s="9" t="str"/>
      <x:c r="L65" s="9" t="str">
        <x:v>Chưa kiểm tra</x:v>
      </x:c>
      <x:c r="M65" s="9" t="str"/>
      <x:c r="N65" s="10"/>
      <x:c r="O65" s="9" t="str"/>
      <x:c r="P65" s="9" t="str"/>
      <x:c r="Q65" s="10"/>
      <x:c r="R65" s="4" t="str">
        <x:f>IF(I65="Không áp dụng",IF(AND(S65&lt;&gt;"",M65&lt;&gt;"",ISNUMBER(N65)),"Không áp dụng đã duyệt","Chờ duyệt không áp dụng"),IF(I65&lt;&gt;"Có","Chưa chốt phạm vi",IF(J65="Chưa xác minh","Chưa đủ bằng chứng",IF(J65&lt;&gt;"Đầy đủ","Cần bổ sung triển khai",IF(K65="","Thiếu bằng chứng",IF(L65&lt;&gt;"Đạt",IF(L65="Không đạt","Cần khắc phục","Chưa kiểm tra"),IF(OR(M65="",NOT(ISNUMBER(N65))),"Chờ xác nhận","Đủ hồ sơ kiểm tra")))))))</x:f>
        <x:v>Chưa đủ bằng chứng</x:v>
      </x:c>
      <x:c r="S65" s="9" t="str"/>
    </x:row>
    <x:row r="66" ht="98" customHeight="1">
      <x:c r="A66" s="8" t="str">
        <x:v>TC-061</x:v>
      </x:c>
      <x:c r="B66" s="8" t="str">
        <x:v>Sao lưu</x:v>
      </x:c>
      <x:c r="C66" s="8" t="str">
        <x:v>TCVN 14423:2026
6.11.2.5 • tr.72</x:v>
      </x:c>
      <x:c r="D66" s="8" t="str">
        <x:v>Kiểm thử khôi phục
Có phương án toàn vẹn; kiểm tra phục hồi bản sao ít nhất 1 lần/6 tháng.</x:v>
      </x:c>
      <x:c r="E66" s="8" t="str">
        <x:v>Khôi phục mẫu DB/VM/config/khóa và đối chiếu kết quả nghiệp vụ.</x:v>
      </x:c>
      <x:c r="F66" s="8" t="str">
        <x:v>Biên bản restore; checksum; log và thời gian.</x:v>
      </x:c>
      <x:c r="G66" s="8" t="str">
        <x:v>Backup và Platform</x:v>
      </x:c>
      <x:c r="H66" s="9" t="str">
        <x:v>DC Cầu Giấy và DR Nam Thăng Long</x:v>
      </x:c>
      <x:c r="I66" s="9" t="str">
        <x:v>Có</x:v>
      </x:c>
      <x:c r="J66" s="9" t="str">
        <x:v>Chưa xác minh</x:v>
      </x:c>
      <x:c r="K66" s="9" t="str"/>
      <x:c r="L66" s="9" t="str">
        <x:v>Chưa kiểm tra</x:v>
      </x:c>
      <x:c r="M66" s="9" t="str"/>
      <x:c r="N66" s="10"/>
      <x:c r="O66" s="9" t="str"/>
      <x:c r="P66" s="9" t="str"/>
      <x:c r="Q66" s="10"/>
      <x:c r="R66" s="8" t="str">
        <x:f>IF(I66="Không áp dụng",IF(AND(S66&lt;&gt;"",M66&lt;&gt;"",ISNUMBER(N66)),"Không áp dụng đã duyệt","Chờ duyệt không áp dụng"),IF(I66&lt;&gt;"Có","Chưa chốt phạm vi",IF(J66="Chưa xác minh","Chưa đủ bằng chứng",IF(J66&lt;&gt;"Đầy đủ","Cần bổ sung triển khai",IF(K66="","Thiếu bằng chứng",IF(L66&lt;&gt;"Đạt",IF(L66="Không đạt","Cần khắc phục","Chưa kiểm tra"),IF(OR(M66="",NOT(ISNUMBER(N66))),"Chờ xác nhận","Đủ hồ sơ kiểm tra")))))))</x:f>
        <x:v>Chưa đủ bằng chứng</x:v>
      </x:c>
      <x:c r="S66" s="9" t="str"/>
    </x:row>
    <x:row r="67" ht="98" customHeight="1">
      <x:c r="A67" s="4" t="str">
        <x:v>TC-062</x:v>
      </x:c>
      <x:c r="B67" s="4" t="str">
        <x:v>Hạ tầng mạng</x:v>
      </x:c>
      <x:c r="C67" s="4" t="str">
        <x:v>TCVN 14423:2026
6.12.2.1 • tr.72</x:v>
      </x:c>
      <x:c r="D67" s="4" t="str">
        <x:v>Hồ sơ kiến trúc mạng
Có thiết kế tổng thể, chi tiết, phương án bảo vệ; chuyên môn đánh giá trước triển khai; phân vùng, quyền tối thiểu, HA, phân đoạn vi mô hoặc tương đương; rà soát 6 tháng/khi đổi.</x:v>
      </x:c>
      <x:c r="E67" s="4" t="str">
        <x:v>Đi từ sơ đồ tới cấu hình trên mẫu thiết bị của cả DC/DR.</x:v>
      </x:c>
      <x:c r="F67" s="4" t="str">
        <x:v>As-built; sơ đồ vật lý/lô-gic; review; ma trận kết nối.</x:v>
      </x:c>
      <x:c r="G67" s="4" t="str">
        <x:v>Network và Platform</x:v>
      </x:c>
      <x:c r="H67" s="9" t="str">
        <x:v>DC Cầu Giấy và DR Nam Thăng Long</x:v>
      </x:c>
      <x:c r="I67" s="9" t="str">
        <x:v>Có</x:v>
      </x:c>
      <x:c r="J67" s="9" t="str">
        <x:v>Chưa xác minh</x:v>
      </x:c>
      <x:c r="K67" s="9" t="str"/>
      <x:c r="L67" s="9" t="str">
        <x:v>Chưa kiểm tra</x:v>
      </x:c>
      <x:c r="M67" s="9" t="str"/>
      <x:c r="N67" s="10"/>
      <x:c r="O67" s="9" t="str"/>
      <x:c r="P67" s="9" t="str"/>
      <x:c r="Q67" s="10"/>
      <x:c r="R67" s="4" t="str">
        <x:f>IF(I67="Không áp dụng",IF(AND(S67&lt;&gt;"",M67&lt;&gt;"",ISNUMBER(N67)),"Không áp dụng đã duyệt","Chờ duyệt không áp dụng"),IF(I67&lt;&gt;"Có","Chưa chốt phạm vi",IF(J67="Chưa xác minh","Chưa đủ bằng chứng",IF(J67&lt;&gt;"Đầy đủ","Cần bổ sung triển khai",IF(K67="","Thiếu bằng chứng",IF(L67&lt;&gt;"Đạt",IF(L67="Không đạt","Cần khắc phục","Chưa kiểm tra"),IF(OR(M67="",NOT(ISNUMBER(N67))),"Chờ xác nhận","Đủ hồ sơ kiểm tra")))))))</x:f>
        <x:v>Chưa đủ bằng chứng</x:v>
      </x:c>
      <x:c r="S67" s="9" t="str"/>
    </x:row>
    <x:row r="68" ht="98" customHeight="1">
      <x:c r="A68" s="8" t="str">
        <x:v>TC-063</x:v>
      </x:c>
      <x:c r="B68" s="8" t="str">
        <x:v>Hạ tầng mạng</x:v>
      </x:c>
      <x:c r="C68" s="8" t="str">
        <x:v>TCVN 14423:2026
6.12.2.2 a • tr.73</x:v>
      </x:c>
      <x:c r="D68" s="8" t="str">
        <x:v>Dự phòng mạng và Internet
Dự phòng kết nối máy chủ, cân bằng tải và dự phòng nóng thiết bị chính; nếu cần Internet, ít nhất hai luồng quốc tế từ ISP trong nước có hạ tầng khác nhau.</x:v>
      </x:c>
      <x:c r="E68" s="8" t="str">
        <x:v>Ngắt từng thành phần trong cửa sổ thử; đo gián đoạn theo mục tiêu đã chốt.</x:v>
      </x:c>
      <x:c r="F68" s="8" t="str">
        <x:v>Hợp đồng; topology; cấu hình HA; biên bản failover.</x:v>
      </x:c>
      <x:c r="G68" s="8" t="str">
        <x:v>Network và Platform</x:v>
      </x:c>
      <x:c r="H68" s="9" t="str">
        <x:v>DC Cầu Giấy và DR Nam Thăng Long</x:v>
      </x:c>
      <x:c r="I68" s="9" t="str">
        <x:v>Có</x:v>
      </x:c>
      <x:c r="J68" s="9" t="str">
        <x:v>Chưa xác minh</x:v>
      </x:c>
      <x:c r="K68" s="9" t="str"/>
      <x:c r="L68" s="9" t="str">
        <x:v>Chưa kiểm tra</x:v>
      </x:c>
      <x:c r="M68" s="9" t="str"/>
      <x:c r="N68" s="10"/>
      <x:c r="O68" s="9" t="str"/>
      <x:c r="P68" s="9" t="str"/>
      <x:c r="Q68" s="10"/>
      <x:c r="R68" s="8" t="str">
        <x:f>IF(I68="Không áp dụng",IF(AND(S68&lt;&gt;"",M68&lt;&gt;"",ISNUMBER(N68)),"Không áp dụng đã duyệt","Chờ duyệt không áp dụng"),IF(I68&lt;&gt;"Có","Chưa chốt phạm vi",IF(J68="Chưa xác minh","Chưa đủ bằng chứng",IF(J68&lt;&gt;"Đầy đủ","Cần bổ sung triển khai",IF(K68="","Thiếu bằng chứng",IF(L68&lt;&gt;"Đạt",IF(L68="Không đạt","Cần khắc phục","Chưa kiểm tra"),IF(OR(M68="",NOT(ISNUMBER(N68))),"Chờ xác nhận","Đủ hồ sơ kiểm tra")))))))</x:f>
        <x:v>Chưa đủ bằng chứng</x:v>
      </x:c>
      <x:c r="S68" s="9" t="str"/>
    </x:row>
    <x:row r="69" ht="98" customHeight="1">
      <x:c r="A69" s="4" t="str">
        <x:v>TC-064</x:v>
      </x:c>
      <x:c r="B69" s="4" t="str">
        <x:v>Hạ tầng mạng</x:v>
      </x:c>
      <x:c r="C69" s="4" t="str">
        <x:v>TCVN 14423:2026
6.12.2.2 a • tr.73</x:v>
      </x:c>
      <x:c r="D69" s="4" t="str">
        <x:v>Tường lửa và IPS
FW có chống xâm nhập hoặc tương đương giữa các vùng; kiểm soát mã độc trên môi trường mạng.</x:v>
      </x:c>
      <x:c r="E69" s="4" t="str">
        <x:v>Thử luồng được phép, bị chặn và mẫu phát hiện an toàn.</x:v>
      </x:c>
      <x:c r="F69" s="4" t="str">
        <x:v>Rule; signature; log; capacity.</x:v>
      </x:c>
      <x:c r="G69" s="4" t="str">
        <x:v>Network và Platform</x:v>
      </x:c>
      <x:c r="H69" s="9" t="str">
        <x:v>DC Cầu Giấy và DR Nam Thăng Long</x:v>
      </x:c>
      <x:c r="I69" s="9" t="str">
        <x:v>Có</x:v>
      </x:c>
      <x:c r="J69" s="9" t="str">
        <x:v>Chưa xác minh</x:v>
      </x:c>
      <x:c r="K69" s="9" t="str"/>
      <x:c r="L69" s="9" t="str">
        <x:v>Chưa kiểm tra</x:v>
      </x:c>
      <x:c r="M69" s="9" t="str"/>
      <x:c r="N69" s="10"/>
      <x:c r="O69" s="9" t="str"/>
      <x:c r="P69" s="9" t="str"/>
      <x:c r="Q69" s="10"/>
      <x:c r="R69" s="4" t="str">
        <x:f>IF(I69="Không áp dụng",IF(AND(S69&lt;&gt;"",M69&lt;&gt;"",ISNUMBER(N69)),"Không áp dụng đã duyệt","Chờ duyệt không áp dụng"),IF(I69&lt;&gt;"Có","Chưa chốt phạm vi",IF(J69="Chưa xác minh","Chưa đủ bằng chứng",IF(J69&lt;&gt;"Đầy đủ","Cần bổ sung triển khai",IF(K69="","Thiếu bằng chứng",IF(L69&lt;&gt;"Đạt",IF(L69="Không đạt","Cần khắc phục","Chưa kiểm tra"),IF(OR(M69="",NOT(ISNUMBER(N69))),"Chờ xác nhận","Đủ hồ sơ kiểm tra")))))))</x:f>
        <x:v>Chưa đủ bằng chứng</x:v>
      </x:c>
      <x:c r="S69" s="9" t="str"/>
    </x:row>
    <x:row r="70" ht="98" customHeight="1">
      <x:c r="A70" s="8" t="str">
        <x:v>TC-065</x:v>
      </x:c>
      <x:c r="B70" s="8" t="str">
        <x:v>Hạ tầng mạng</x:v>
      </x:c>
      <x:c r="C70" s="8" t="str">
        <x:v>TCVN 14423:2026
6.12.2.2 a • tr.73</x:v>
      </x:c>
      <x:c r="D70" s="8" t="str">
        <x:v>Bảo vệ CSDL
DBF hoặc phương án tương đương cho CSDL tập trung.</x:v>
      </x:c>
      <x:c r="E70" s="8" t="str">
        <x:v>Thử truy cập/truy vấn trái quyền và chứng minh kiểm soát tương đương nếu dùng.</x:v>
      </x:c>
      <x:c r="F70" s="8" t="str">
        <x:v>Thiết kế DBF/DAM/tương đương; audit; rule.</x:v>
      </x:c>
      <x:c r="G70" s="8" t="str">
        <x:v>Network và Platform</x:v>
      </x:c>
      <x:c r="H70" s="9" t="str">
        <x:v>DC Cầu Giấy và DR Nam Thăng Long</x:v>
      </x:c>
      <x:c r="I70" s="9" t="str">
        <x:v>Có</x:v>
      </x:c>
      <x:c r="J70" s="9" t="str">
        <x:v>Chưa xác minh</x:v>
      </x:c>
      <x:c r="K70" s="9" t="str"/>
      <x:c r="L70" s="9" t="str">
        <x:v>Chưa kiểm tra</x:v>
      </x:c>
      <x:c r="M70" s="9" t="str"/>
      <x:c r="N70" s="10"/>
      <x:c r="O70" s="9" t="str"/>
      <x:c r="P70" s="9" t="str"/>
      <x:c r="Q70" s="10"/>
      <x:c r="R70" s="8" t="str">
        <x:f>IF(I70="Không áp dụng",IF(AND(S70&lt;&gt;"",M70&lt;&gt;"",ISNUMBER(N70)),"Không áp dụng đã duyệt","Chờ duyệt không áp dụng"),IF(I70&lt;&gt;"Có","Chưa chốt phạm vi",IF(J70="Chưa xác minh","Chưa đủ bằng chứng",IF(J70&lt;&gt;"Đầy đủ","Cần bổ sung triển khai",IF(K70="","Thiếu bằng chứng",IF(L70&lt;&gt;"Đạt",IF(L70="Không đạt","Cần khắc phục","Chưa kiểm tra"),IF(OR(M70="",NOT(ISNUMBER(N70))),"Chờ xác nhận","Đủ hồ sơ kiểm tra")))))))</x:f>
        <x:v>Chưa đủ bằng chứng</x:v>
      </x:c>
      <x:c r="S70" s="9" t="str"/>
    </x:row>
    <x:row r="71" ht="98" customHeight="1">
      <x:c r="A71" s="4" t="str">
        <x:v>TC-066</x:v>
      </x:c>
      <x:c r="B71" s="4" t="str">
        <x:v>Hạ tầng mạng</x:v>
      </x:c>
      <x:c r="C71" s="4" t="str">
        <x:v>TCVN 14423:2026
6.12.2.2 a • tr.73</x:v>
      </x:c>
      <x:c r="D71" s="4" t="str">
        <x:v>Kiểm soát lớp mạng
NAC hoặc tương đương quản lý thiết bị đầu cuối kết nối; giám sát tập trung.</x:v>
      </x:c>
      <x:c r="E71" s="4" t="str">
        <x:v>Thử thiết bị lạ và kiểm tra tình trạng kết nối.</x:v>
      </x:c>
      <x:c r="F71" s="4" t="str">
        <x:v>Policy; danh sách thiết bị; log; sơ đồ.</x:v>
      </x:c>
      <x:c r="G71" s="4" t="str">
        <x:v>Network và Platform</x:v>
      </x:c>
      <x:c r="H71" s="9" t="str">
        <x:v>DC Cầu Giấy và DR Nam Thăng Long</x:v>
      </x:c>
      <x:c r="I71" s="9" t="str">
        <x:v>Có</x:v>
      </x:c>
      <x:c r="J71" s="9" t="str">
        <x:v>Chưa xác minh</x:v>
      </x:c>
      <x:c r="K71" s="9" t="str"/>
      <x:c r="L71" s="9" t="str">
        <x:v>Chưa kiểm tra</x:v>
      </x:c>
      <x:c r="M71" s="9" t="str"/>
      <x:c r="N71" s="10"/>
      <x:c r="O71" s="9" t="str"/>
      <x:c r="P71" s="9" t="str"/>
      <x:c r="Q71" s="10"/>
      <x:c r="R71" s="4" t="str">
        <x:f>IF(I71="Không áp dụng",IF(AND(S71&lt;&gt;"",M71&lt;&gt;"",ISNUMBER(N71)),"Không áp dụng đã duyệt","Chờ duyệt không áp dụng"),IF(I71&lt;&gt;"Có","Chưa chốt phạm vi",IF(J71="Chưa xác minh","Chưa đủ bằng chứng",IF(J71&lt;&gt;"Đầy đủ","Cần bổ sung triển khai",IF(K71="","Thiếu bằng chứng",IF(L71&lt;&gt;"Đạt",IF(L71="Không đạt","Cần khắc phục","Chưa kiểm tra"),IF(OR(M71="",NOT(ISNUMBER(N71))),"Chờ xác nhận","Đủ hồ sơ kiểm tra")))))))</x:f>
        <x:v>Chưa đủ bằng chứng</x:v>
      </x:c>
      <x:c r="S71" s="9" t="str"/>
    </x:row>
    <x:row r="72" ht="98" customHeight="1">
      <x:c r="A72" s="8" t="str">
        <x:v>TC-067</x:v>
      </x:c>
      <x:c r="B72" s="8" t="str">
        <x:v>Hạ tầng mạng</x:v>
      </x:c>
      <x:c r="C72" s="8" t="str">
        <x:v>TCVN 14423:2026
6.12.2.2 a • tr.73</x:v>
      </x:c>
      <x:c r="D72" s="8" t="str">
        <x:v>WAF và chống DDoS
Bảo vệ ứng dụng web nếu có; chống từ chối dịch vụ bằng dịch vụ/giải pháp hoặc tương đương.</x:v>
      </x:c>
      <x:c r="E72" s="8" t="str">
        <x:v>Thử bypass origin và kịch bản chống DDoS trong phạm vi cho phép.</x:v>
      </x:c>
      <x:c r="F72" s="8" t="str">
        <x:v>Policy; origin ACL; hợp đồng; kịch bản thử.</x:v>
      </x:c>
      <x:c r="G72" s="8" t="str">
        <x:v>Network và Platform</x:v>
      </x:c>
      <x:c r="H72" s="9" t="str">
        <x:v>DC Cầu Giấy và DR Nam Thăng Long</x:v>
      </x:c>
      <x:c r="I72" s="9" t="str">
        <x:v>Có</x:v>
      </x:c>
      <x:c r="J72" s="9" t="str">
        <x:v>Chưa xác minh</x:v>
      </x:c>
      <x:c r="K72" s="9" t="str"/>
      <x:c r="L72" s="9" t="str">
        <x:v>Chưa kiểm tra</x:v>
      </x:c>
      <x:c r="M72" s="9" t="str"/>
      <x:c r="N72" s="10"/>
      <x:c r="O72" s="9" t="str"/>
      <x:c r="P72" s="9" t="str"/>
      <x:c r="Q72" s="10"/>
      <x:c r="R72" s="8" t="str">
        <x:f>IF(I72="Không áp dụng",IF(AND(S72&lt;&gt;"",M72&lt;&gt;"",ISNUMBER(N72)),"Không áp dụng đã duyệt","Chờ duyệt không áp dụng"),IF(I72&lt;&gt;"Có","Chưa chốt phạm vi",IF(J72="Chưa xác minh","Chưa đủ bằng chứng",IF(J72&lt;&gt;"Đầy đủ","Cần bổ sung triển khai",IF(K72="","Thiếu bằng chứng",IF(L72&lt;&gt;"Đạt",IF(L72="Không đạt","Cần khắc phục","Chưa kiểm tra"),IF(OR(M72="",NOT(ISNUMBER(N72))),"Chờ xác nhận","Đủ hồ sơ kiểm tra")))))))</x:f>
        <x:v>Chưa đủ bằng chứng</x:v>
      </x:c>
      <x:c r="S72" s="9" t="str"/>
    </x:row>
    <x:row r="73" ht="98" customHeight="1">
      <x:c r="A73" s="4" t="str">
        <x:v>TC-068</x:v>
      </x:c>
      <x:c r="B73" s="4" t="str">
        <x:v>Hạ tầng mạng</x:v>
      </x:c>
      <x:c r="C73" s="4" t="str">
        <x:v>TCVN 14423:2026
6.12.2.2 a • tr.73</x:v>
      </x:c>
      <x:c r="D73" s="4" t="str">
        <x:v>Biên vùng lõi ít tin cậy
Datadiode/USG/BSG hoặc kiểm soát rủi ro tương đương cho vùng lõi/OT với vùng ít tin cậy.</x:v>
      </x:c>
      <x:c r="E73" s="4" t="str">
        <x:v>Kiểm tra không có đường vòng qua cổng và kiểm tra luồng ngoài danh sách.</x:v>
      </x:c>
      <x:c r="F73" s="4" t="str">
        <x:v>DFD; đánh giá rủi ro; thiết kế cổng; kết quả thử.</x:v>
      </x:c>
      <x:c r="G73" s="4" t="str">
        <x:v>Network và Platform</x:v>
      </x:c>
      <x:c r="H73" s="9" t="str">
        <x:v>DC Cầu Giấy và DR Nam Thăng Long</x:v>
      </x:c>
      <x:c r="I73" s="9" t="str">
        <x:v>Có</x:v>
      </x:c>
      <x:c r="J73" s="9" t="str">
        <x:v>Chưa xác minh</x:v>
      </x:c>
      <x:c r="K73" s="9" t="str"/>
      <x:c r="L73" s="9" t="str">
        <x:v>Chưa kiểm tra</x:v>
      </x:c>
      <x:c r="M73" s="9" t="str"/>
      <x:c r="N73" s="10"/>
      <x:c r="O73" s="9" t="str"/>
      <x:c r="P73" s="9" t="str"/>
      <x:c r="Q73" s="10"/>
      <x:c r="R73" s="4" t="str">
        <x:f>IF(I73="Không áp dụng",IF(AND(S73&lt;&gt;"",M73&lt;&gt;"",ISNUMBER(N73)),"Không áp dụng đã duyệt","Chờ duyệt không áp dụng"),IF(I73&lt;&gt;"Có","Chưa chốt phạm vi",IF(J73="Chưa xác minh","Chưa đủ bằng chứng",IF(J73&lt;&gt;"Đầy đủ","Cần bổ sung triển khai",IF(K73="","Thiếu bằng chứng",IF(L73&lt;&gt;"Đạt",IF(L73="Không đạt","Cần khắc phục","Chưa kiểm tra"),IF(OR(M73="",NOT(ISNUMBER(N73))),"Chờ xác nhận","Đủ hồ sơ kiểm tra")))))))</x:f>
        <x:v>Chưa đủ bằng chứng</x:v>
      </x:c>
      <x:c r="S73" s="9" t="str"/>
    </x:row>
    <x:row r="74" ht="98" customHeight="1">
      <x:c r="A74" s="8" t="str">
        <x:v>TC-069</x:v>
      </x:c>
      <x:c r="B74" s="8" t="str">
        <x:v>Hạ tầng mạng</x:v>
      </x:c>
      <x:c r="C74" s="8" t="str">
        <x:v>TCVN 14423:2026
6.12.2.2 a • tr.73</x:v>
      </x:c>
      <x:c r="D74" s="8" t="str">
        <x:v>Duy trì hạ tầng mạng
Cập nhật phát hiện tấn công; quản lý thay đổi/kết nối/gỡ thiết bị; theo dõi hiệu năng; bảo vệ Wi-Fi nếu có.</x:v>
      </x:c>
      <x:c r="E74" s="8" t="str">
        <x:v>Chọn một thay đổi và đối chiếu phê duyệt, cấu hình, rollback.</x:v>
      </x:c>
      <x:c r="F74" s="8" t="str">
        <x:v>Ticket; báo cáo capacity; chính sách Wi-Fi; cập nhật rule.</x:v>
      </x:c>
      <x:c r="G74" s="8" t="str">
        <x:v>Network và Platform</x:v>
      </x:c>
      <x:c r="H74" s="9" t="str">
        <x:v>DC Cầu Giấy và DR Nam Thăng Long</x:v>
      </x:c>
      <x:c r="I74" s="9" t="str">
        <x:v>Có</x:v>
      </x:c>
      <x:c r="J74" s="9" t="str">
        <x:v>Chưa xác minh</x:v>
      </x:c>
      <x:c r="K74" s="9" t="str"/>
      <x:c r="L74" s="9" t="str">
        <x:v>Chưa kiểm tra</x:v>
      </x:c>
      <x:c r="M74" s="9" t="str"/>
      <x:c r="N74" s="10"/>
      <x:c r="O74" s="9" t="str"/>
      <x:c r="P74" s="9" t="str"/>
      <x:c r="Q74" s="10"/>
      <x:c r="R74" s="8" t="str">
        <x:f>IF(I74="Không áp dụng",IF(AND(S74&lt;&gt;"",M74&lt;&gt;"",ISNUMBER(N74)),"Không áp dụng đã duyệt","Chờ duyệt không áp dụng"),IF(I74&lt;&gt;"Có","Chưa chốt phạm vi",IF(J74="Chưa xác minh","Chưa đủ bằng chứng",IF(J74&lt;&gt;"Đầy đủ","Cần bổ sung triển khai",IF(K74="","Thiếu bằng chứng",IF(L74&lt;&gt;"Đạt",IF(L74="Không đạt","Cần khắc phục","Chưa kiểm tra"),IF(OR(M74="",NOT(ISNUMBER(N74))),"Chờ xác nhận","Đủ hồ sơ kiểm tra")))))))</x:f>
        <x:v>Chưa đủ bằng chứng</x:v>
      </x:c>
      <x:c r="S74" s="9" t="str"/>
    </x:row>
    <x:row r="75" ht="98" customHeight="1">
      <x:c r="A75" s="4" t="str">
        <x:v>TC-070</x:v>
      </x:c>
      <x:c r="B75" s="4" t="str">
        <x:v>Hạ tầng mạng</x:v>
      </x:c>
      <x:c r="C75" s="4" t="str">
        <x:v>TCVN 14423:2026
6.12.2.2 b • tr.73–74</x:v>
      </x:c>
      <x:c r="D75" s="4" t="str">
        <x:v>Phân vùng theo chức năng
Tách nội bộ, biên, máy chủ nội bộ, DMZ, CSDL, quản trị thiết bị và quản trị; WAN/Wi-Fi nếu có.</x:v>
      </x:c>
      <x:c r="E75" s="4" t="str">
        <x:v>Thử truy cập liên vùng và chéo tenant ngoài ma trận.</x:v>
      </x:c>
      <x:c r="F75" s="4" t="str">
        <x:v>VLAN/VRF/VXLAN; SG; route; sơ đồ.</x:v>
      </x:c>
      <x:c r="G75" s="4" t="str">
        <x:v>Network và Platform</x:v>
      </x:c>
      <x:c r="H75" s="9" t="str">
        <x:v>DC Cầu Giấy và DR Nam Thăng Long</x:v>
      </x:c>
      <x:c r="I75" s="9" t="str">
        <x:v>Có</x:v>
      </x:c>
      <x:c r="J75" s="9" t="str">
        <x:v>Chưa xác minh</x:v>
      </x:c>
      <x:c r="K75" s="9" t="str"/>
      <x:c r="L75" s="9" t="str">
        <x:v>Chưa kiểm tra</x:v>
      </x:c>
      <x:c r="M75" s="9" t="str"/>
      <x:c r="N75" s="10"/>
      <x:c r="O75" s="9" t="str"/>
      <x:c r="P75" s="9" t="str"/>
      <x:c r="Q75" s="10"/>
      <x:c r="R75" s="4" t="str">
        <x:f>IF(I75="Không áp dụng",IF(AND(S75&lt;&gt;"",M75&lt;&gt;"",ISNUMBER(N75)),"Không áp dụng đã duyệt","Chờ duyệt không áp dụng"),IF(I75&lt;&gt;"Có","Chưa chốt phạm vi",IF(J75="Chưa xác minh","Chưa đủ bằng chứng",IF(J75&lt;&gt;"Đầy đủ","Cần bổ sung triển khai",IF(K75="","Thiếu bằng chứng",IF(L75&lt;&gt;"Đạt",IF(L75="Không đạt","Cần khắc phục","Chưa kiểm tra"),IF(OR(M75="",NOT(ISNUMBER(N75))),"Chờ xác nhận","Đủ hồ sơ kiểm tra")))))))</x:f>
        <x:v>Chưa đủ bằng chứng</x:v>
      </x:c>
      <x:c r="S75" s="9" t="str"/>
    </x:row>
    <x:row r="76" ht="98" customHeight="1">
      <x:c r="A76" s="8" t="str">
        <x:v>TC-071</x:v>
      </x:c>
      <x:c r="B76" s="8" t="str">
        <x:v>Hạ tầng mạng</x:v>
      </x:c>
      <x:c r="C76" s="8" t="str">
        <x:v>TCVN 14423:2026
6.12.2.3 • tr.74</x:v>
      </x:c>
      <x:c r="D76" s="8" t="str">
        <x:v>Giao thức an toàn
Chỉ sử dụng giao thức truyền thông và quản trị an toàn theo điều khoản.</x:v>
      </x:c>
      <x:c r="E76" s="8" t="str">
        <x:v>Kiểm tra endpoint và xác minh giao thức yếu bị từ chối.</x:v>
      </x:c>
      <x:c r="F76" s="8" t="str">
        <x:v>Cấu hình; báo cáo kiểm tra TLS/SSH.</x:v>
      </x:c>
      <x:c r="G76" s="8" t="str">
        <x:v>Network và Platform</x:v>
      </x:c>
      <x:c r="H76" s="9" t="str">
        <x:v>DC Cầu Giấy và DR Nam Thăng Long</x:v>
      </x:c>
      <x:c r="I76" s="9" t="str">
        <x:v>Có</x:v>
      </x:c>
      <x:c r="J76" s="9" t="str">
        <x:v>Chưa xác minh</x:v>
      </x:c>
      <x:c r="K76" s="9" t="str"/>
      <x:c r="L76" s="9" t="str">
        <x:v>Chưa kiểm tra</x:v>
      </x:c>
      <x:c r="M76" s="9" t="str"/>
      <x:c r="N76" s="10"/>
      <x:c r="O76" s="9" t="str"/>
      <x:c r="P76" s="9" t="str"/>
      <x:c r="Q76" s="10"/>
      <x:c r="R76" s="8" t="str">
        <x:f>IF(I76="Không áp dụng",IF(AND(S76&lt;&gt;"",M76&lt;&gt;"",ISNUMBER(N76)),"Không áp dụng đã duyệt","Chờ duyệt không áp dụng"),IF(I76&lt;&gt;"Có","Chưa chốt phạm vi",IF(J76="Chưa xác minh","Chưa đủ bằng chứng",IF(J76&lt;&gt;"Đầy đủ","Cần bổ sung triển khai",IF(K76="","Thiếu bằng chứng",IF(L76&lt;&gt;"Đạt",IF(L76="Không đạt","Cần khắc phục","Chưa kiểm tra"),IF(OR(M76="",NOT(ISNUMBER(N76))),"Chờ xác nhận","Đủ hồ sơ kiểm tra")))))))</x:f>
        <x:v>Chưa đủ bằng chứng</x:v>
      </x:c>
      <x:c r="S76" s="9" t="str"/>
    </x:row>
    <x:row r="77" ht="98" customHeight="1">
      <x:c r="A77" s="4" t="str">
        <x:v>TC-072</x:v>
      </x:c>
      <x:c r="B77" s="4" t="str">
        <x:v>Hạ tầng mạng</x:v>
      </x:c>
      <x:c r="C77" s="4" t="str">
        <x:v>TCVN 14423:2026
6.12.2.4 • tr.74</x:v>
      </x:c>
      <x:c r="D77" s="4" t="str">
        <x:v>Quy tắc truy cập mạng
Xác thực, kết nối an toàn, allowlist vào/ra theo dịch vụ; timeout, giới hạn kết nối theo năng lực, kiểm soát nội bộ và egress máy chủ.</x:v>
      </x:c>
      <x:c r="E77" s="4" t="str">
        <x:v>Thử cả cho phép và từ chối; kiểm tra cổng không cung cấp bị chặn.</x:v>
      </x:c>
      <x:c r="F77" s="4" t="str">
        <x:v>Ma trận luồng; rule export; cấu hình timeout/rate.</x:v>
      </x:c>
      <x:c r="G77" s="4" t="str">
        <x:v>Network và Platform</x:v>
      </x:c>
      <x:c r="H77" s="9" t="str">
        <x:v>DC Cầu Giấy và DR Nam Thăng Long</x:v>
      </x:c>
      <x:c r="I77" s="9" t="str">
        <x:v>Có</x:v>
      </x:c>
      <x:c r="J77" s="9" t="str">
        <x:v>Chưa xác minh</x:v>
      </x:c>
      <x:c r="K77" s="9" t="str"/>
      <x:c r="L77" s="9" t="str">
        <x:v>Chưa kiểm tra</x:v>
      </x:c>
      <x:c r="M77" s="9" t="str"/>
      <x:c r="N77" s="10"/>
      <x:c r="O77" s="9" t="str"/>
      <x:c r="P77" s="9" t="str"/>
      <x:c r="Q77" s="10"/>
      <x:c r="R77" s="4" t="str">
        <x:f>IF(I77="Không áp dụng",IF(AND(S77&lt;&gt;"",M77&lt;&gt;"",ISNUMBER(N77)),"Không áp dụng đã duyệt","Chờ duyệt không áp dụng"),IF(I77&lt;&gt;"Có","Chưa chốt phạm vi",IF(J77="Chưa xác minh","Chưa đủ bằng chứng",IF(J77&lt;&gt;"Đầy đủ","Cần bổ sung triển khai",IF(K77="","Thiếu bằng chứng",IF(L77&lt;&gt;"Đạt",IF(L77="Không đạt","Cần khắc phục","Chưa kiểm tra"),IF(OR(M77="",NOT(ISNUMBER(N77))),"Chờ xác nhận","Đủ hồ sơ kiểm tra")))))))</x:f>
        <x:v>Chưa đủ bằng chứng</x:v>
      </x:c>
      <x:c r="S77" s="9" t="str"/>
    </x:row>
    <x:row r="78" ht="98" customHeight="1">
      <x:c r="A78" s="8" t="str">
        <x:v>TC-073</x:v>
      </x:c>
      <x:c r="B78" s="8" t="str">
        <x:v>Hạ tầng mạng</x:v>
      </x:c>
      <x:c r="C78" s="8" t="str">
        <x:v>TCVN 14423:2026
6.12.2.5 • tr.74–75</x:v>
      </x:c>
      <x:c r="D78" s="8" t="str">
        <x:v>Quản trị từ xa
VPN/ZTNA hoặc tương đương; MFA và xác thực bổ sung; giới hạn nguồn/thiết bị; quản trị gián tiếp và endpoint được bảo vệ.</x:v>
      </x:c>
      <x:c r="E78" s="8" t="str">
        <x:v>Thử thiếu MFA, máy lạ, bỏ qua PAM và quyền hết hạn.</x:v>
      </x:c>
      <x:c r="F78" s="8" t="str">
        <x:v>Policy; cấu hình; log PAM; trạng thái EDR.</x:v>
      </x:c>
      <x:c r="G78" s="8" t="str">
        <x:v>Network và Platform</x:v>
      </x:c>
      <x:c r="H78" s="9" t="str">
        <x:v>DC Cầu Giấy và DR Nam Thăng Long</x:v>
      </x:c>
      <x:c r="I78" s="9" t="str">
        <x:v>Có</x:v>
      </x:c>
      <x:c r="J78" s="9" t="str">
        <x:v>Chưa xác minh</x:v>
      </x:c>
      <x:c r="K78" s="9" t="str"/>
      <x:c r="L78" s="9" t="str">
        <x:v>Chưa kiểm tra</x:v>
      </x:c>
      <x:c r="M78" s="9" t="str"/>
      <x:c r="N78" s="10"/>
      <x:c r="O78" s="9" t="str"/>
      <x:c r="P78" s="9" t="str"/>
      <x:c r="Q78" s="10"/>
      <x:c r="R78" s="8" t="str">
        <x:f>IF(I78="Không áp dụng",IF(AND(S78&lt;&gt;"",M78&lt;&gt;"",ISNUMBER(N78)),"Không áp dụng đã duyệt","Chờ duyệt không áp dụng"),IF(I78&lt;&gt;"Có","Chưa chốt phạm vi",IF(J78="Chưa xác minh","Chưa đủ bằng chứng",IF(J78&lt;&gt;"Đầy đủ","Cần bổ sung triển khai",IF(K78="","Thiếu bằng chứng",IF(L78&lt;&gt;"Đạt",IF(L78="Không đạt","Cần khắc phục","Chưa kiểm tra"),IF(OR(M78="",NOT(ISNUMBER(N78))),"Chờ xác nhận","Đủ hồ sơ kiểm tra")))))))</x:f>
        <x:v>Chưa đủ bằng chứng</x:v>
      </x:c>
      <x:c r="S78" s="9" t="str"/>
    </x:row>
    <x:row r="79" ht="98" customHeight="1">
      <x:c r="A79" s="4" t="str">
        <x:v>TC-074</x:v>
      </x:c>
      <x:c r="B79" s="4" t="str">
        <x:v>Hạ tầng mạng</x:v>
      </x:c>
      <x:c r="C79" s="4" t="str">
        <x:v>TCVN 14423:2026
6.12.2.6 • tr.75</x:v>
      </x:c>
      <x:c r="D79" s="4" t="str">
        <x:v>Mạng quản trị chuyên dụng
Tài nguyên quản trị tách vật lý/lô-gic với mạng chính và không kết nối Internet.</x:v>
      </x:c>
      <x:c r="E79" s="4" t="str">
        <x:v>Thử Internet từ mạng quản trị và truy cập OOB từ tenant.</x:v>
      </x:c>
      <x:c r="F79" s="4" t="str">
        <x:v>Route; ACL; topology; quy trình nhập gói.</x:v>
      </x:c>
      <x:c r="G79" s="4" t="str">
        <x:v>Network và Platform</x:v>
      </x:c>
      <x:c r="H79" s="9" t="str">
        <x:v>DC Cầu Giấy và DR Nam Thăng Long</x:v>
      </x:c>
      <x:c r="I79" s="9" t="str">
        <x:v>Có</x:v>
      </x:c>
      <x:c r="J79" s="9" t="str">
        <x:v>Chưa xác minh</x:v>
      </x:c>
      <x:c r="K79" s="9" t="str"/>
      <x:c r="L79" s="9" t="str">
        <x:v>Chưa kiểm tra</x:v>
      </x:c>
      <x:c r="M79" s="9" t="str"/>
      <x:c r="N79" s="10"/>
      <x:c r="O79" s="9" t="str"/>
      <x:c r="P79" s="9" t="str"/>
      <x:c r="Q79" s="10"/>
      <x:c r="R79" s="4" t="str">
        <x:f>IF(I79="Không áp dụng",IF(AND(S79&lt;&gt;"",M79&lt;&gt;"",ISNUMBER(N79)),"Không áp dụng đã duyệt","Chờ duyệt không áp dụng"),IF(I79&lt;&gt;"Có","Chưa chốt phạm vi",IF(J79="Chưa xác minh","Chưa đủ bằng chứng",IF(J79&lt;&gt;"Đầy đủ","Cần bổ sung triển khai",IF(K79="","Thiếu bằng chứng",IF(L79&lt;&gt;"Đạt",IF(L79="Không đạt","Cần khắc phục","Chưa kiểm tra"),IF(OR(M79="",NOT(ISNUMBER(N79))),"Chờ xác nhận","Đủ hồ sơ kiểm tra")))))))</x:f>
        <x:v>Chưa đủ bằng chứng</x:v>
      </x:c>
      <x:c r="S79" s="9" t="str"/>
    </x:row>
    <x:row r="80" ht="98" customHeight="1">
      <x:c r="A80" s="8" t="str">
        <x:v>TC-075</x:v>
      </x:c>
      <x:c r="B80" s="8" t="str">
        <x:v>Hạ tầng mạng</x:v>
      </x:c>
      <x:c r="C80" s="8" t="str">
        <x:v>TCVN 14423:2026
6.12.2.7 • tr.75</x:v>
      </x:c>
      <x:c r="D80" s="8" t="str">
        <x:v>Kiểm thử và nghiệm thu
Có kế hoạch, thử trước bàn giao/vận hành, giám sát độc lập; báo cáo được chuyên trách xác nhận và chủ quản duyệt.</x:v>
      </x:c>
      <x:c r="E80" s="8" t="str">
        <x:v>Kiểm tra phép thử thực tế gắn đúng bản dựng và ngày nghiệm thu.</x:v>
      </x:c>
      <x:c r="F80" s="8" t="str">
        <x:v>Kế hoạch; phân công độc lập; biên bản; phê duyệt.</x:v>
      </x:c>
      <x:c r="G80" s="8" t="str">
        <x:v>Network và Platform</x:v>
      </x:c>
      <x:c r="H80" s="9" t="str">
        <x:v>DC Cầu Giấy và DR Nam Thăng Long</x:v>
      </x:c>
      <x:c r="I80" s="9" t="str">
        <x:v>Có</x:v>
      </x:c>
      <x:c r="J80" s="9" t="str">
        <x:v>Chưa xác minh</x:v>
      </x:c>
      <x:c r="K80" s="9" t="str"/>
      <x:c r="L80" s="9" t="str">
        <x:v>Chưa kiểm tra</x:v>
      </x:c>
      <x:c r="M80" s="9" t="str"/>
      <x:c r="N80" s="10"/>
      <x:c r="O80" s="9" t="str"/>
      <x:c r="P80" s="9" t="str"/>
      <x:c r="Q80" s="10"/>
      <x:c r="R80" s="8" t="str">
        <x:f>IF(I80="Không áp dụng",IF(AND(S80&lt;&gt;"",M80&lt;&gt;"",ISNUMBER(N80)),"Không áp dụng đã duyệt","Chờ duyệt không áp dụng"),IF(I80&lt;&gt;"Có","Chưa chốt phạm vi",IF(J80="Chưa xác minh","Chưa đủ bằng chứng",IF(J80&lt;&gt;"Đầy đủ","Cần bổ sung triển khai",IF(K80="","Thiếu bằng chứng",IF(L80&lt;&gt;"Đạt",IF(L80="Không đạt","Cần khắc phục","Chưa kiểm tra"),IF(OR(M80="",NOT(ISNUMBER(N80))),"Chờ xác nhận","Đủ hồ sơ kiểm tra")))))))</x:f>
        <x:v>Chưa đủ bằng chứng</x:v>
      </x:c>
      <x:c r="S80" s="9" t="str"/>
    </x:row>
    <x:row r="81" ht="98" customHeight="1">
      <x:c r="A81" s="4" t="str">
        <x:v>TC-076</x:v>
      </x:c>
      <x:c r="B81" s="4" t="str">
        <x:v>Giám sát</x:v>
      </x:c>
      <x:c r="C81" s="4" t="str">
        <x:v>TCVN 14423:2026
6.13.2.1 • tr.75</x:v>
      </x:c>
      <x:c r="D81" s="4" t="str">
        <x:v>Giám sát tập trung 24 trên 7
Giám sát thiết bị, máy chủ, ứng dụng, dịch vụ; liên kết sự kiện bằng SIEM; bố trí nguồn lực 24/7.</x:v>
      </x:c>
      <x:c r="E81" s="4" t="str">
        <x:v>Kiểm tra cảnh báo ngoài giờ được tiếp nhận và xử lý.</x:v>
      </x:c>
      <x:c r="F81" s="4" t="str">
        <x:v>Lịch trực; SLA; use case; ticket; log bàn giao.</x:v>
      </x:c>
      <x:c r="G81" s="4" t="str">
        <x:v>SOC</x:v>
      </x:c>
      <x:c r="H81" s="9" t="str">
        <x:v>DC Cầu Giấy và DR Nam Thăng Long</x:v>
      </x:c>
      <x:c r="I81" s="9" t="str">
        <x:v>Có</x:v>
      </x:c>
      <x:c r="J81" s="9" t="str">
        <x:v>Chưa xác minh</x:v>
      </x:c>
      <x:c r="K81" s="9" t="str"/>
      <x:c r="L81" s="9" t="str">
        <x:v>Chưa kiểm tra</x:v>
      </x:c>
      <x:c r="M81" s="9" t="str"/>
      <x:c r="N81" s="10"/>
      <x:c r="O81" s="9" t="str"/>
      <x:c r="P81" s="9" t="str"/>
      <x:c r="Q81" s="10"/>
      <x:c r="R81" s="4" t="str">
        <x:f>IF(I81="Không áp dụng",IF(AND(S81&lt;&gt;"",M81&lt;&gt;"",ISNUMBER(N81)),"Không áp dụng đã duyệt","Chờ duyệt không áp dụng"),IF(I81&lt;&gt;"Có","Chưa chốt phạm vi",IF(J81="Chưa xác minh","Chưa đủ bằng chứng",IF(J81&lt;&gt;"Đầy đủ","Cần bổ sung triển khai",IF(K81="","Thiếu bằng chứng",IF(L81&lt;&gt;"Đạt",IF(L81="Không đạt","Cần khắc phục","Chưa kiểm tra"),IF(OR(M81="",NOT(ISNUMBER(N81))),"Chờ xác nhận","Đủ hồ sơ kiểm tra")))))))</x:f>
        <x:v>Chưa đủ bằng chứng</x:v>
      </x:c>
      <x:c r="S81" s="9" t="str"/>
    </x:row>
    <x:row r="82" ht="98" customHeight="1">
      <x:c r="A82" s="8" t="str">
        <x:v>TC-077</x:v>
      </x:c>
      <x:c r="B82" s="8" t="str">
        <x:v>Giám sát</x:v>
      </x:c>
      <x:c r="C82" s="8" t="str">
        <x:v>TCVN 14423:2026
6.13.2.2 • tr.75</x:v>
      </x:c>
      <x:c r="D82" s="8" t="str">
        <x:v>Tính năng phòng vệ hệ thống
Bật firewall/phát hiện/ngăn chặn xâm nhập của OS/hệ thống nếu có.</x:v>
      </x:c>
      <x:c r="E82" s="8" t="str">
        <x:v>Đối chiếu host mẫu với baseline và console giám sát.</x:v>
      </x:c>
      <x:c r="F82" s="8" t="str">
        <x:v>Baseline; agent state; log.</x:v>
      </x:c>
      <x:c r="G82" s="8" t="str">
        <x:v>SOC</x:v>
      </x:c>
      <x:c r="H82" s="9" t="str">
        <x:v>DC Cầu Giấy và DR Nam Thăng Long</x:v>
      </x:c>
      <x:c r="I82" s="9" t="str">
        <x:v>Có</x:v>
      </x:c>
      <x:c r="J82" s="9" t="str">
        <x:v>Chưa xác minh</x:v>
      </x:c>
      <x:c r="K82" s="9" t="str"/>
      <x:c r="L82" s="9" t="str">
        <x:v>Chưa kiểm tra</x:v>
      </x:c>
      <x:c r="M82" s="9" t="str"/>
      <x:c r="N82" s="10"/>
      <x:c r="O82" s="9" t="str"/>
      <x:c r="P82" s="9" t="str"/>
      <x:c r="Q82" s="10"/>
      <x:c r="R82" s="8" t="str">
        <x:f>IF(I82="Không áp dụng",IF(AND(S82&lt;&gt;"",M82&lt;&gt;"",ISNUMBER(N82)),"Không áp dụng đã duyệt","Chờ duyệt không áp dụng"),IF(I82&lt;&gt;"Có","Chưa chốt phạm vi",IF(J82="Chưa xác minh","Chưa đủ bằng chứng",IF(J82&lt;&gt;"Đầy đủ","Cần bổ sung triển khai",IF(K82="","Thiếu bằng chứng",IF(L82&lt;&gt;"Đạt",IF(L82="Không đạt","Cần khắc phục","Chưa kiểm tra"),IF(OR(M82="",NOT(ISNUMBER(N82))),"Chờ xác nhận","Đủ hồ sơ kiểm tra")))))))</x:f>
        <x:v>Chưa đủ bằng chứng</x:v>
      </x:c>
      <x:c r="S82" s="9" t="str"/>
    </x:row>
    <x:row r="83" ht="98" customHeight="1">
      <x:c r="A83" s="4" t="str">
        <x:v>TC-078</x:v>
      </x:c>
      <x:c r="B83" s="4" t="str">
        <x:v>Giám sát</x:v>
      </x:c>
      <x:c r="C83" s="4" t="str">
        <x:v>TCVN 14423:2026
6.13.2.3 • tr.76</x:v>
      </x:c>
      <x:c r="D83" s="4" t="str">
        <x:v>Cổng kết nối và quản trị
Kiểm soát cổng thiết bị nếu hỗ trợ; tách cổng quản trị ứng dụng với cổng dịch vụ.</x:v>
      </x:c>
      <x:c r="E83" s="4" t="str">
        <x:v>Thử từ mạng người dùng không tới endpoint quản trị.</x:v>
      </x:c>
      <x:c r="F83" s="4" t="str">
        <x:v>Port map; cấu hình; endpoint catalog.</x:v>
      </x:c>
      <x:c r="G83" s="4" t="str">
        <x:v>SOC</x:v>
      </x:c>
      <x:c r="H83" s="9" t="str">
        <x:v>DC Cầu Giấy và DR Nam Thăng Long</x:v>
      </x:c>
      <x:c r="I83" s="9" t="str">
        <x:v>Có</x:v>
      </x:c>
      <x:c r="J83" s="9" t="str">
        <x:v>Chưa xác minh</x:v>
      </x:c>
      <x:c r="K83" s="9" t="str"/>
      <x:c r="L83" s="9" t="str">
        <x:v>Chưa kiểm tra</x:v>
      </x:c>
      <x:c r="M83" s="9" t="str"/>
      <x:c r="N83" s="10"/>
      <x:c r="O83" s="9" t="str"/>
      <x:c r="P83" s="9" t="str"/>
      <x:c r="Q83" s="10"/>
      <x:c r="R83" s="4" t="str">
        <x:f>IF(I83="Không áp dụng",IF(AND(S83&lt;&gt;"",M83&lt;&gt;"",ISNUMBER(N83)),"Không áp dụng đã duyệt","Chờ duyệt không áp dụng"),IF(I83&lt;&gt;"Có","Chưa chốt phạm vi",IF(J83="Chưa xác minh","Chưa đủ bằng chứng",IF(J83&lt;&gt;"Đầy đủ","Cần bổ sung triển khai",IF(K83="","Thiếu bằng chứng",IF(L83&lt;&gt;"Đạt",IF(L83="Không đạt","Cần khắc phục","Chưa kiểm tra"),IF(OR(M83="",NOT(ISNUMBER(N83))),"Chờ xác nhận","Đủ hồ sơ kiểm tra")))))))</x:f>
        <x:v>Chưa đủ bằng chứng</x:v>
      </x:c>
      <x:c r="S83" s="9" t="str"/>
    </x:row>
    <x:row r="84" ht="98" customHeight="1">
      <x:c r="A84" s="8" t="str">
        <x:v>TC-079</x:v>
      </x:c>
      <x:c r="B84" s="8" t="str">
        <x:v>Giám sát</x:v>
      </x:c>
      <x:c r="C84" s="8" t="str">
        <x:v>TCVN 14423:2026
6.13.2.4 • tr.76</x:v>
      </x:c>
      <x:c r="D84" s="8" t="str">
        <x:v>Dữ liệu mạng
Thu flow log và/hoặc lưu lượng để rà soát, cảnh báo.</x:v>
      </x:c>
      <x:c r="E84" s="8" t="str">
        <x:v>Tạo luồng thử và truy vết từ nguồn tới đích.</x:v>
      </x:c>
      <x:c r="F84" s="8" t="str">
        <x:v>Cấu hình exporter; mẫu flow; rule.</x:v>
      </x:c>
      <x:c r="G84" s="8" t="str">
        <x:v>SOC</x:v>
      </x:c>
      <x:c r="H84" s="9" t="str">
        <x:v>DC Cầu Giấy và DR Nam Thăng Long</x:v>
      </x:c>
      <x:c r="I84" s="9" t="str">
        <x:v>Có</x:v>
      </x:c>
      <x:c r="J84" s="9" t="str">
        <x:v>Chưa xác minh</x:v>
      </x:c>
      <x:c r="K84" s="9" t="str"/>
      <x:c r="L84" s="9" t="str">
        <x:v>Chưa kiểm tra</x:v>
      </x:c>
      <x:c r="M84" s="9" t="str"/>
      <x:c r="N84" s="10"/>
      <x:c r="O84" s="9" t="str"/>
      <x:c r="P84" s="9" t="str"/>
      <x:c r="Q84" s="10"/>
      <x:c r="R84" s="8" t="str">
        <x:f>IF(I84="Không áp dụng",IF(AND(S84&lt;&gt;"",M84&lt;&gt;"",ISNUMBER(N84)),"Không áp dụng đã duyệt","Chờ duyệt không áp dụng"),IF(I84&lt;&gt;"Có","Chưa chốt phạm vi",IF(J84="Chưa xác minh","Chưa đủ bằng chứng",IF(J84&lt;&gt;"Đầy đủ","Cần bổ sung triển khai",IF(K84="","Thiếu bằng chứng",IF(L84&lt;&gt;"Đạt",IF(L84="Không đạt","Cần khắc phục","Chưa kiểm tra"),IF(OR(M84="",NOT(ISNUMBER(N84))),"Chờ xác nhận","Đủ hồ sơ kiểm tra")))))))</x:f>
        <x:v>Chưa đủ bằng chứng</x:v>
      </x:c>
      <x:c r="S84" s="9" t="str"/>
    </x:row>
    <x:row r="85" ht="98" customHeight="1">
      <x:c r="A85" s="4" t="str">
        <x:v>TC-080</x:v>
      </x:c>
      <x:c r="B85" s="4" t="str">
        <x:v>Giám sát</x:v>
      </x:c>
      <x:c r="C85" s="4" t="str">
        <x:v>TCVN 14423:2026
6.13.2.5 • tr.76</x:v>
      </x:c>
      <x:c r="D85" s="4" t="str">
        <x:v>Điều chỉnh cảnh báo
Rà soát ngưỡng cảnh báo ít nhất hằng quý.</x:v>
      </x:c>
      <x:c r="E85" s="4" t="str">
        <x:v>Đối chiếu rule thay đổi với số liệu và retest.</x:v>
      </x:c>
      <x:c r="F85" s="4" t="str">
        <x:v>Biên bản quý; phiên bản rule; kết quả thử.</x:v>
      </x:c>
      <x:c r="G85" s="4" t="str">
        <x:v>SOC</x:v>
      </x:c>
      <x:c r="H85" s="9" t="str">
        <x:v>DC Cầu Giấy và DR Nam Thăng Long</x:v>
      </x:c>
      <x:c r="I85" s="9" t="str">
        <x:v>Có</x:v>
      </x:c>
      <x:c r="J85" s="9" t="str">
        <x:v>Chưa xác minh</x:v>
      </x:c>
      <x:c r="K85" s="9" t="str"/>
      <x:c r="L85" s="9" t="str">
        <x:v>Chưa kiểm tra</x:v>
      </x:c>
      <x:c r="M85" s="9" t="str"/>
      <x:c r="N85" s="10"/>
      <x:c r="O85" s="9" t="str"/>
      <x:c r="P85" s="9" t="str"/>
      <x:c r="Q85" s="10"/>
      <x:c r="R85" s="4" t="str">
        <x:f>IF(I85="Không áp dụng",IF(AND(S85&lt;&gt;"",M85&lt;&gt;"",ISNUMBER(N85)),"Không áp dụng đã duyệt","Chờ duyệt không áp dụng"),IF(I85&lt;&gt;"Có","Chưa chốt phạm vi",IF(J85="Chưa xác minh","Chưa đủ bằng chứng",IF(J85&lt;&gt;"Đầy đủ","Cần bổ sung triển khai",IF(K85="","Thiếu bằng chứng",IF(L85&lt;&gt;"Đạt",IF(L85="Không đạt","Cần khắc phục","Chưa kiểm tra"),IF(OR(M85="",NOT(ISNUMBER(N85))),"Chờ xác nhận","Đủ hồ sơ kiểm tra")))))))</x:f>
        <x:v>Chưa đủ bằng chứng</x:v>
      </x:c>
      <x:c r="S85" s="9" t="str"/>
    </x:row>
    <x:row r="86" ht="98" customHeight="1">
      <x:c r="A86" s="8" t="str">
        <x:v>TC-081</x:v>
      </x:c>
      <x:c r="B86" s="8" t="str">
        <x:v>Nhân sự</x:v>
      </x:c>
      <x:c r="C86" s="8" t="str">
        <x:v>TCVN 14423:2026
6.14.1; 6.14.2.1 • tr.76</x:v>
      </x:c>
      <x:c r="D86" s="8" t="str">
        <x:v>Tổ chức và độc lập chuyên môn
Có bộ phận vận hành, quản trị và bảo vệ an ninh riêng; độc lập chuyên môn; nhân sự đủ năng lực.</x:v>
      </x:c>
      <x:c r="E86" s="8" t="str">
        <x:v>Đối chiếu người thực hiện, người duyệt và người kiểm tra một thay đổi.</x:v>
      </x:c>
      <x:c r="F86" s="8" t="str">
        <x:v>Sơ đồ tổ chức; quyết định; hồ sơ năng lực; ma trận quyền.</x:v>
      </x:c>
      <x:c r="G86" s="8" t="str">
        <x:v>Nhân sự và chủ quản</x:v>
      </x:c>
      <x:c r="H86" s="9" t="str">
        <x:v>DC Cầu Giấy và DR Nam Thăng Long</x:v>
      </x:c>
      <x:c r="I86" s="9" t="str">
        <x:v>Có</x:v>
      </x:c>
      <x:c r="J86" s="9" t="str">
        <x:v>Chưa xác minh</x:v>
      </x:c>
      <x:c r="K86" s="9" t="str"/>
      <x:c r="L86" s="9" t="str">
        <x:v>Chưa kiểm tra</x:v>
      </x:c>
      <x:c r="M86" s="9" t="str"/>
      <x:c r="N86" s="10"/>
      <x:c r="O86" s="9" t="str"/>
      <x:c r="P86" s="9" t="str"/>
      <x:c r="Q86" s="10"/>
      <x:c r="R86" s="8" t="str">
        <x:f>IF(I86="Không áp dụng",IF(AND(S86&lt;&gt;"",M86&lt;&gt;"",ISNUMBER(N86)),"Không áp dụng đã duyệt","Chờ duyệt không áp dụng"),IF(I86&lt;&gt;"Có","Chưa chốt phạm vi",IF(J86="Chưa xác minh","Chưa đủ bằng chứng",IF(J86&lt;&gt;"Đầy đủ","Cần bổ sung triển khai",IF(K86="","Thiếu bằng chứng",IF(L86&lt;&gt;"Đạt",IF(L86="Không đạt","Cần khắc phục","Chưa kiểm tra"),IF(OR(M86="",NOT(ISNUMBER(N86))),"Chờ xác nhận","Đủ hồ sơ kiểm tra")))))))</x:f>
        <x:v>Chưa đủ bằng chứng</x:v>
      </x:c>
      <x:c r="S86" s="9" t="str"/>
    </x:row>
    <x:row r="87" ht="98" customHeight="1">
      <x:c r="A87" s="4" t="str">
        <x:v>TC-082</x:v>
      </x:c>
      <x:c r="B87" s="4" t="str">
        <x:v>Nhân sự</x:v>
      </x:c>
      <x:c r="C87" s="4" t="str">
        <x:v>TCVN 14423:2026
6.14.2.2 • tr.76</x:v>
      </x:c>
      <x:c r="D87" s="4" t="str">
        <x:v>Nhận thức và nghỉ việc
Đào tạo toàn bộ người dùng ít nhất hằng năm; khi đổi/nghỉ việc thu hồi tài sản, quyền vật lý/lô-gic, có cam kết bảo mật.</x:v>
      </x:c>
      <x:c r="E87" s="4" t="str">
        <x:v>Theo dõi một nhân sự nghỉ việc qua thẻ IDC, VPN, PAM và dịch vụ.</x:v>
      </x:c>
      <x:c r="F87" s="4" t="str">
        <x:v>Danh sách học; kết quả; NDA; phiếu thu hồi.</x:v>
      </x:c>
      <x:c r="G87" s="4" t="str">
        <x:v>Nhân sự và chủ quản</x:v>
      </x:c>
      <x:c r="H87" s="9" t="str">
        <x:v>DC Cầu Giấy và DR Nam Thăng Long</x:v>
      </x:c>
      <x:c r="I87" s="9" t="str">
        <x:v>Có</x:v>
      </x:c>
      <x:c r="J87" s="9" t="str">
        <x:v>Chưa xác minh</x:v>
      </x:c>
      <x:c r="K87" s="9" t="str"/>
      <x:c r="L87" s="9" t="str">
        <x:v>Chưa kiểm tra</x:v>
      </x:c>
      <x:c r="M87" s="9" t="str"/>
      <x:c r="N87" s="10"/>
      <x:c r="O87" s="9" t="str"/>
      <x:c r="P87" s="9" t="str"/>
      <x:c r="Q87" s="10"/>
      <x:c r="R87" s="4" t="str">
        <x:f>IF(I87="Không áp dụng",IF(AND(S87&lt;&gt;"",M87&lt;&gt;"",ISNUMBER(N87)),"Không áp dụng đã duyệt","Chờ duyệt không áp dụng"),IF(I87&lt;&gt;"Có","Chưa chốt phạm vi",IF(J87="Chưa xác minh","Chưa đủ bằng chứng",IF(J87&lt;&gt;"Đầy đủ","Cần bổ sung triển khai",IF(K87="","Thiếu bằng chứng",IF(L87&lt;&gt;"Đạt",IF(L87="Không đạt","Cần khắc phục","Chưa kiểm tra"),IF(OR(M87="",NOT(ISNUMBER(N87))),"Chờ xác nhận","Đủ hồ sơ kiểm tra")))))))</x:f>
        <x:v>Chưa đủ bằng chứng</x:v>
      </x:c>
      <x:c r="S87" s="9" t="str"/>
    </x:row>
    <x:row r="88" ht="98" customHeight="1">
      <x:c r="A88" s="8" t="str">
        <x:v>TC-083</x:v>
      </x:c>
      <x:c r="B88" s="8" t="str">
        <x:v>Nhân sự</x:v>
      </x:c>
      <x:c r="C88" s="8" t="str">
        <x:v>TCVN 14423:2026
6.14.2.3 • tr.77</x:v>
      </x:c>
      <x:c r="D88" s="8" t="str">
        <x:v>Đào tạo theo vai trò
Đào tạo chuyên môn và trách nhiệm pháp lý ít nhất hằng năm hoặc khi thay đổi nhân sự liên quan.</x:v>
      </x:c>
      <x:c r="E88" s="8" t="str">
        <x:v>Kiểm tra người trực và người quản trị đã hoàn thành nội dung phù hợp.</x:v>
      </x:c>
      <x:c r="F88" s="8" t="str">
        <x:v>Kế hoạch; tài liệu; điểm kiểm tra; hồ sơ năng lực.</x:v>
      </x:c>
      <x:c r="G88" s="8" t="str">
        <x:v>Nhân sự và chủ quản</x:v>
      </x:c>
      <x:c r="H88" s="9" t="str">
        <x:v>DC Cầu Giấy và DR Nam Thăng Long</x:v>
      </x:c>
      <x:c r="I88" s="9" t="str">
        <x:v>Có</x:v>
      </x:c>
      <x:c r="J88" s="9" t="str">
        <x:v>Chưa xác minh</x:v>
      </x:c>
      <x:c r="K88" s="9" t="str"/>
      <x:c r="L88" s="9" t="str">
        <x:v>Chưa kiểm tra</x:v>
      </x:c>
      <x:c r="M88" s="9" t="str"/>
      <x:c r="N88" s="10"/>
      <x:c r="O88" s="9" t="str"/>
      <x:c r="P88" s="9" t="str"/>
      <x:c r="Q88" s="10"/>
      <x:c r="R88" s="8" t="str">
        <x:f>IF(I88="Không áp dụng",IF(AND(S88&lt;&gt;"",M88&lt;&gt;"",ISNUMBER(N88)),"Không áp dụng đã duyệt","Chờ duyệt không áp dụng"),IF(I88&lt;&gt;"Có","Chưa chốt phạm vi",IF(J88="Chưa xác minh","Chưa đủ bằng chứng",IF(J88&lt;&gt;"Đầy đủ","Cần bổ sung triển khai",IF(K88="","Thiếu bằng chứng",IF(L88&lt;&gt;"Đạt",IF(L88="Không đạt","Cần khắc phục","Chưa kiểm tra"),IF(OR(M88="",NOT(ISNUMBER(N88))),"Chờ xác nhận","Đủ hồ sơ kiểm tra")))))))</x:f>
        <x:v>Chưa đủ bằng chứng</x:v>
      </x:c>
      <x:c r="S88" s="9" t="str"/>
    </x:row>
    <x:row r="89" ht="98" customHeight="1">
      <x:c r="A89" s="4" t="str">
        <x:v>TC-084</x:v>
      </x:c>
      <x:c r="B89" s="4" t="str">
        <x:v>Nhà cung cấp</x:v>
      </x:c>
      <x:c r="C89" s="4" t="str">
        <x:v>TCVN 14423:2026
6.15.1; 6.15.2.1 • tr.77</x:v>
      </x:c>
      <x:c r="D89" s="4" t="str">
        <x:v>Danh mục nhà cung cấp
Kiểm kê/phân loại, ranh giới trách nhiệm; nhà cung cấp ANM đủ điều kiện theo quy định; rà soát hằng năm/khi đổi.</x:v>
      </x:c>
      <x:c r="E89" s="4" t="str">
        <x:v>Chọn nhà cung cấp trọng yếu và đối chiếu phạm vi được cung cấp.</x:v>
      </x:c>
      <x:c r="F89" s="4" t="str">
        <x:v>Danh mục; hợp đồng; giấy tờ năng lực/điều kiện khi áp dụng.</x:v>
      </x:c>
      <x:c r="G89" s="4" t="str">
        <x:v>Mua sắm và GRC</x:v>
      </x:c>
      <x:c r="H89" s="9" t="str">
        <x:v>DC Cầu Giấy và DR Nam Thăng Long</x:v>
      </x:c>
      <x:c r="I89" s="9" t="str">
        <x:v>Có</x:v>
      </x:c>
      <x:c r="J89" s="9" t="str">
        <x:v>Chưa xác minh</x:v>
      </x:c>
      <x:c r="K89" s="9" t="str"/>
      <x:c r="L89" s="9" t="str">
        <x:v>Chưa kiểm tra</x:v>
      </x:c>
      <x:c r="M89" s="9" t="str"/>
      <x:c r="N89" s="10"/>
      <x:c r="O89" s="9" t="str"/>
      <x:c r="P89" s="9" t="str"/>
      <x:c r="Q89" s="10"/>
      <x:c r="R89" s="4" t="str">
        <x:f>IF(I89="Không áp dụng",IF(AND(S89&lt;&gt;"",M89&lt;&gt;"",ISNUMBER(N89)),"Không áp dụng đã duyệt","Chờ duyệt không áp dụng"),IF(I89&lt;&gt;"Có","Chưa chốt phạm vi",IF(J89="Chưa xác minh","Chưa đủ bằng chứng",IF(J89&lt;&gt;"Đầy đủ","Cần bổ sung triển khai",IF(K89="","Thiếu bằng chứng",IF(L89&lt;&gt;"Đạt",IF(L89="Không đạt","Cần khắc phục","Chưa kiểm tra"),IF(OR(M89="",NOT(ISNUMBER(N89))),"Chờ xác nhận","Đủ hồ sơ kiểm tra")))))))</x:f>
        <x:v>Chưa đủ bằng chứng</x:v>
      </x:c>
      <x:c r="S89" s="9" t="str"/>
    </x:row>
    <x:row r="90" ht="98" customHeight="1">
      <x:c r="A90" s="8" t="str">
        <x:v>TC-085</x:v>
      </x:c>
      <x:c r="B90" s="8" t="str">
        <x:v>Nhà cung cấp</x:v>
      </x:c>
      <x:c r="C90" s="8" t="str">
        <x:v>TCVN 14423:2026
6.15.2.2 • tr.77</x:v>
      </x:c>
      <x:c r="D90" s="8" t="str">
        <x:v>Quy định nhà cung cấp
Có quy định quản lý; rà soát hằng năm/khi đổi.</x:v>
      </x:c>
      <x:c r="E90" s="8" t="str">
        <x:v>Đối chiếu một nhà cung cấp mới với quy trình.</x:v>
      </x:c>
      <x:c r="F90" s="8" t="str">
        <x:v>Quy định; biên bản rà soát.</x:v>
      </x:c>
      <x:c r="G90" s="8" t="str">
        <x:v>Mua sắm và GRC</x:v>
      </x:c>
      <x:c r="H90" s="9" t="str">
        <x:v>DC Cầu Giấy và DR Nam Thăng Long</x:v>
      </x:c>
      <x:c r="I90" s="9" t="str">
        <x:v>Có</x:v>
      </x:c>
      <x:c r="J90" s="9" t="str">
        <x:v>Chưa xác minh</x:v>
      </x:c>
      <x:c r="K90" s="9" t="str"/>
      <x:c r="L90" s="9" t="str">
        <x:v>Chưa kiểm tra</x:v>
      </x:c>
      <x:c r="M90" s="9" t="str"/>
      <x:c r="N90" s="10"/>
      <x:c r="O90" s="9" t="str"/>
      <x:c r="P90" s="9" t="str"/>
      <x:c r="Q90" s="10"/>
      <x:c r="R90" s="8" t="str">
        <x:f>IF(I90="Không áp dụng",IF(AND(S90&lt;&gt;"",M90&lt;&gt;"",ISNUMBER(N90)),"Không áp dụng đã duyệt","Chờ duyệt không áp dụng"),IF(I90&lt;&gt;"Có","Chưa chốt phạm vi",IF(J90="Chưa xác minh","Chưa đủ bằng chứng",IF(J90&lt;&gt;"Đầy đủ","Cần bổ sung triển khai",IF(K90="","Thiếu bằng chứng",IF(L90&lt;&gt;"Đạt",IF(L90="Không đạt","Cần khắc phục","Chưa kiểm tra"),IF(OR(M90="",NOT(ISNUMBER(N90))),"Chờ xác nhận","Đủ hồ sơ kiểm tra")))))))</x:f>
        <x:v>Chưa đủ bằng chứng</x:v>
      </x:c>
      <x:c r="S90" s="9" t="str"/>
    </x:row>
    <x:row r="91" ht="98" customHeight="1">
      <x:c r="A91" s="4" t="str">
        <x:v>TC-086</x:v>
      </x:c>
      <x:c r="B91" s="4" t="str">
        <x:v>Nhà cung cấp</x:v>
      </x:c>
      <x:c r="C91" s="4" t="str">
        <x:v>TCVN 14423:2026
6.15.2.3 • tr.77</x:v>
      </x:c>
      <x:c r="D91" s="4" t="str">
        <x:v>Điều khoản bảo mật
Hợp đồng có yêu cầu bảo mật; rà soát khi gia hạn.</x:v>
      </x:c>
      <x:c r="E91" s="4" t="str">
        <x:v>Kiểm tra trách nhiệm IDC và XOR được phân định bằng văn bản.</x:v>
      </x:c>
      <x:c r="F91" s="4" t="str">
        <x:v>Hợp đồng/SLA/phụ lục; review pháp chế.</x:v>
      </x:c>
      <x:c r="G91" s="4" t="str">
        <x:v>Mua sắm và GRC</x:v>
      </x:c>
      <x:c r="H91" s="9" t="str">
        <x:v>DC Cầu Giấy và DR Nam Thăng Long</x:v>
      </x:c>
      <x:c r="I91" s="9" t="str">
        <x:v>Có</x:v>
      </x:c>
      <x:c r="J91" s="9" t="str">
        <x:v>Chưa xác minh</x:v>
      </x:c>
      <x:c r="K91" s="9" t="str"/>
      <x:c r="L91" s="9" t="str">
        <x:v>Chưa kiểm tra</x:v>
      </x:c>
      <x:c r="M91" s="9" t="str"/>
      <x:c r="N91" s="10"/>
      <x:c r="O91" s="9" t="str"/>
      <x:c r="P91" s="9" t="str"/>
      <x:c r="Q91" s="10"/>
      <x:c r="R91" s="4" t="str">
        <x:f>IF(I91="Không áp dụng",IF(AND(S91&lt;&gt;"",M91&lt;&gt;"",ISNUMBER(N91)),"Không áp dụng đã duyệt","Chờ duyệt không áp dụng"),IF(I91&lt;&gt;"Có","Chưa chốt phạm vi",IF(J91="Chưa xác minh","Chưa đủ bằng chứng",IF(J91&lt;&gt;"Đầy đủ","Cần bổ sung triển khai",IF(K91="","Thiếu bằng chứng",IF(L91&lt;&gt;"Đạt",IF(L91="Không đạt","Cần khắc phục","Chưa kiểm tra"),IF(OR(M91="",NOT(ISNUMBER(N91))),"Chờ xác nhận","Đủ hồ sơ kiểm tra")))))))</x:f>
        <x:v>Chưa đủ bằng chứng</x:v>
      </x:c>
      <x:c r="S91" s="9" t="str"/>
    </x:row>
    <x:row r="92" ht="98" customHeight="1">
      <x:c r="A92" s="8" t="str">
        <x:v>TC-087</x:v>
      </x:c>
      <x:c r="B92" s="8" t="str">
        <x:v>Nhà cung cấp</x:v>
      </x:c>
      <x:c r="C92" s="8" t="str">
        <x:v>TCVN 14423:2026
6.15.2.4 • tr.77</x:v>
      </x:c>
      <x:c r="D92" s="8" t="str">
        <x:v>Theo dõi nhà cung cấp
Giám sát việc thực hiện yêu cầu cung cấp dịch vụ.</x:v>
      </x:c>
      <x:c r="E92" s="8" t="str">
        <x:v>Kiểm tra một vi phạm SLA đã có hành động.</x:v>
      </x:c>
      <x:c r="F92" s="8" t="str">
        <x:v>Báo cáo SLA; biên bản đánh giá; ticket.</x:v>
      </x:c>
      <x:c r="G92" s="8" t="str">
        <x:v>Mua sắm và GRC</x:v>
      </x:c>
      <x:c r="H92" s="9" t="str">
        <x:v>DC Cầu Giấy và DR Nam Thăng Long</x:v>
      </x:c>
      <x:c r="I92" s="9" t="str">
        <x:v>Có</x:v>
      </x:c>
      <x:c r="J92" s="9" t="str">
        <x:v>Chưa xác minh</x:v>
      </x:c>
      <x:c r="K92" s="9" t="str"/>
      <x:c r="L92" s="9" t="str">
        <x:v>Chưa kiểm tra</x:v>
      </x:c>
      <x:c r="M92" s="9" t="str"/>
      <x:c r="N92" s="10"/>
      <x:c r="O92" s="9" t="str"/>
      <x:c r="P92" s="9" t="str"/>
      <x:c r="Q92" s="10"/>
      <x:c r="R92" s="8" t="str">
        <x:f>IF(I92="Không áp dụng",IF(AND(S92&lt;&gt;"",M92&lt;&gt;"",ISNUMBER(N92)),"Không áp dụng đã duyệt","Chờ duyệt không áp dụng"),IF(I92&lt;&gt;"Có","Chưa chốt phạm vi",IF(J92="Chưa xác minh","Chưa đủ bằng chứng",IF(J92&lt;&gt;"Đầy đủ","Cần bổ sung triển khai",IF(K92="","Thiếu bằng chứng",IF(L92&lt;&gt;"Đạt",IF(L92="Không đạt","Cần khắc phục","Chưa kiểm tra"),IF(OR(M92="",NOT(ISNUMBER(N92))),"Chờ xác nhận","Đủ hồ sơ kiểm tra")))))))</x:f>
        <x:v>Chưa đủ bằng chứng</x:v>
      </x:c>
      <x:c r="S92" s="9" t="str"/>
    </x:row>
    <x:row r="93" ht="98" customHeight="1">
      <x:c r="A93" s="4" t="str">
        <x:v>TC-088</x:v>
      </x:c>
      <x:c r="B93" s="4" t="str">
        <x:v>Nhà cung cấp</x:v>
      </x:c>
      <x:c r="C93" s="4" t="str">
        <x:v>TCVN 14423:2026
6.15.2.5 • tr.77</x:v>
      </x:c>
      <x:c r="D93" s="4" t="str">
        <x:v>Kết thúc hợp đồng
Rà soát an ninh khi chấm dứt.</x:v>
      </x:c>
      <x:c r="E93" s="4" t="str">
        <x:v>Kiểm tra tài khoản đối tác đã khóa và dữ liệu đã bàn giao.</x:v>
      </x:c>
      <x:c r="F93" s="4" t="str">
        <x:v>Checklist kết thúc; biên bản; log thu hồi.</x:v>
      </x:c>
      <x:c r="G93" s="4" t="str">
        <x:v>Mua sắm và GRC</x:v>
      </x:c>
      <x:c r="H93" s="9" t="str">
        <x:v>DC Cầu Giấy và DR Nam Thăng Long</x:v>
      </x:c>
      <x:c r="I93" s="9" t="str">
        <x:v>Có</x:v>
      </x:c>
      <x:c r="J93" s="9" t="str">
        <x:v>Chưa xác minh</x:v>
      </x:c>
      <x:c r="K93" s="9" t="str"/>
      <x:c r="L93" s="9" t="str">
        <x:v>Chưa kiểm tra</x:v>
      </x:c>
      <x:c r="M93" s="9" t="str"/>
      <x:c r="N93" s="10"/>
      <x:c r="O93" s="9" t="str"/>
      <x:c r="P93" s="9" t="str"/>
      <x:c r="Q93" s="10"/>
      <x:c r="R93" s="4" t="str">
        <x:f>IF(I93="Không áp dụng",IF(AND(S93&lt;&gt;"",M93&lt;&gt;"",ISNUMBER(N93)),"Không áp dụng đã duyệt","Chờ duyệt không áp dụng"),IF(I93&lt;&gt;"Có","Chưa chốt phạm vi",IF(J93="Chưa xác minh","Chưa đủ bằng chứng",IF(J93&lt;&gt;"Đầy đủ","Cần bổ sung triển khai",IF(K93="","Thiếu bằng chứng",IF(L93&lt;&gt;"Đạt",IF(L93="Không đạt","Cần khắc phục","Chưa kiểm tra"),IF(OR(M93="",NOT(ISNUMBER(N93))),"Chờ xác nhận","Đủ hồ sơ kiểm tra")))))))</x:f>
        <x:v>Chưa đủ bằng chứng</x:v>
      </x:c>
      <x:c r="S93" s="9" t="str"/>
    </x:row>
    <x:row r="94" ht="98" customHeight="1">
      <x:c r="A94" s="8" t="str">
        <x:v>TC-089</x:v>
      </x:c>
      <x:c r="B94" s="8" t="str">
        <x:v>Phát triển an toàn</x:v>
      </x:c>
      <x:c r="C94" s="8" t="str">
        <x:v>TCVN 14423:2026
6.16.2.1 • tr.78</x:v>
      </x:c>
      <x:c r="D94" s="8" t="str">
        <x:v>Quy trình phát triển
Có SSDLC, rà soát hằng năm/khi đổi; phần thuê ngoài có cam kết, mã nguồn hoặc biện pháp thay thế theo điều khoản; thử và đánh giá trước dùng/khi đổi kiến trúc.</x:v>
      </x:c>
      <x:c r="E94" s="8" t="str">
        <x:v>Chọn một release XOR và truy vết từ yêu cầu đến triển khai.</x:v>
      </x:c>
      <x:c r="F94" s="8" t="str">
        <x:v>SSDLC; hợp đồng; review; release checklist; báo cáo thử.</x:v>
      </x:c>
      <x:c r="G94" s="8" t="str">
        <x:v>DevSecOps</x:v>
      </x:c>
      <x:c r="H94" s="9" t="str">
        <x:v>DC Cầu Giấy và DR Nam Thăng Long</x:v>
      </x:c>
      <x:c r="I94" s="9" t="str">
        <x:v>Có</x:v>
      </x:c>
      <x:c r="J94" s="9" t="str">
        <x:v>Chưa xác minh</x:v>
      </x:c>
      <x:c r="K94" s="9" t="str"/>
      <x:c r="L94" s="9" t="str">
        <x:v>Chưa kiểm tra</x:v>
      </x:c>
      <x:c r="M94" s="9" t="str"/>
      <x:c r="N94" s="10"/>
      <x:c r="O94" s="9" t="str"/>
      <x:c r="P94" s="9" t="str"/>
      <x:c r="Q94" s="10"/>
      <x:c r="R94" s="8" t="str">
        <x:f>IF(I94="Không áp dụng",IF(AND(S94&lt;&gt;"",M94&lt;&gt;"",ISNUMBER(N94)),"Không áp dụng đã duyệt","Chờ duyệt không áp dụng"),IF(I94&lt;&gt;"Có","Chưa chốt phạm vi",IF(J94="Chưa xác minh","Chưa đủ bằng chứng",IF(J94&lt;&gt;"Đầy đủ","Cần bổ sung triển khai",IF(K94="","Thiếu bằng chứng",IF(L94&lt;&gt;"Đạt",IF(L94="Không đạt","Cần khắc phục","Chưa kiểm tra"),IF(OR(M94="",NOT(ISNUMBER(N94))),"Chờ xác nhận","Đủ hồ sơ kiểm tra")))))))</x:f>
        <x:v>Chưa đủ bằng chứng</x:v>
      </x:c>
      <x:c r="S94" s="9" t="str"/>
    </x:row>
    <x:row r="95" ht="98" customHeight="1">
      <x:c r="A95" s="4" t="str">
        <x:v>TC-090</x:v>
      </x:c>
      <x:c r="B95" s="4" t="str">
        <x:v>Phát triển an toàn</x:v>
      </x:c>
      <x:c r="C95" s="4" t="str">
        <x:v>TCVN 14423:2026
6.16.2.2 • tr.78</x:v>
      </x:c>
      <x:c r="D95" s="4" t="str">
        <x:v>Tiếp nhận lỗ hổng phần mềm
Có kênh bên ngoài báo cáo và quy trình xử lý; rà soát hằng năm/khi đổi.</x:v>
      </x:c>
      <x:c r="E95" s="4" t="str">
        <x:v>Gửi báo cáo thử được duyệt và kiểm tra tiếp nhận.</x:v>
      </x:c>
      <x:c r="F95" s="4" t="str">
        <x:v>Quy trình; kênh liên hệ; ticket đã che dữ liệu.</x:v>
      </x:c>
      <x:c r="G95" s="4" t="str">
        <x:v>DevSecOps</x:v>
      </x:c>
      <x:c r="H95" s="9" t="str">
        <x:v>DC Cầu Giấy và DR Nam Thăng Long</x:v>
      </x:c>
      <x:c r="I95" s="9" t="str">
        <x:v>Có</x:v>
      </x:c>
      <x:c r="J95" s="9" t="str">
        <x:v>Chưa xác minh</x:v>
      </x:c>
      <x:c r="K95" s="9" t="str"/>
      <x:c r="L95" s="9" t="str">
        <x:v>Chưa kiểm tra</x:v>
      </x:c>
      <x:c r="M95" s="9" t="str"/>
      <x:c r="N95" s="10"/>
      <x:c r="O95" s="9" t="str"/>
      <x:c r="P95" s="9" t="str"/>
      <x:c r="Q95" s="10"/>
      <x:c r="R95" s="4" t="str">
        <x:f>IF(I95="Không áp dụng",IF(AND(S95&lt;&gt;"",M95&lt;&gt;"",ISNUMBER(N95)),"Không áp dụng đã duyệt","Chờ duyệt không áp dụng"),IF(I95&lt;&gt;"Có","Chưa chốt phạm vi",IF(J95="Chưa xác minh","Chưa đủ bằng chứng",IF(J95&lt;&gt;"Đầy đủ","Cần bổ sung triển khai",IF(K95="","Thiếu bằng chứng",IF(L95&lt;&gt;"Đạt",IF(L95="Không đạt","Cần khắc phục","Chưa kiểm tra"),IF(OR(M95="",NOT(ISNUMBER(N95))),"Chờ xác nhận","Đủ hồ sơ kiểm tra")))))))</x:f>
        <x:v>Chưa đủ bằng chứng</x:v>
      </x:c>
      <x:c r="S95" s="9" t="str"/>
    </x:row>
    <x:row r="96" ht="98" customHeight="1">
      <x:c r="A96" s="8" t="str">
        <x:v>TC-091</x:v>
      </x:c>
      <x:c r="B96" s="8" t="str">
        <x:v>Phát triển an toàn</x:v>
      </x:c>
      <x:c r="C96" s="8" t="str">
        <x:v>TCVN 14423:2026
6.16.2.3 • tr.78</x:v>
      </x:c>
      <x:c r="D96" s="8" t="str">
        <x:v>Nguyên nhân lỗ hổng
Phân tích nguyên nhân gốc của lỗ hổng.</x:v>
      </x:c>
      <x:c r="E96" s="8" t="str">
        <x:v>Chọn lỗi đã đóng và kiểm tra biện pháp chống tái diễn.</x:v>
      </x:c>
      <x:c r="F96" s="8" t="str">
        <x:v>RCA; ticket; thay đổi test/code.</x:v>
      </x:c>
      <x:c r="G96" s="8" t="str">
        <x:v>DevSecOps</x:v>
      </x:c>
      <x:c r="H96" s="9" t="str">
        <x:v>DC Cầu Giấy và DR Nam Thăng Long</x:v>
      </x:c>
      <x:c r="I96" s="9" t="str">
        <x:v>Có</x:v>
      </x:c>
      <x:c r="J96" s="9" t="str">
        <x:v>Chưa xác minh</x:v>
      </x:c>
      <x:c r="K96" s="9" t="str"/>
      <x:c r="L96" s="9" t="str">
        <x:v>Chưa kiểm tra</x:v>
      </x:c>
      <x:c r="M96" s="9" t="str"/>
      <x:c r="N96" s="10"/>
      <x:c r="O96" s="9" t="str"/>
      <x:c r="P96" s="9" t="str"/>
      <x:c r="Q96" s="10"/>
      <x:c r="R96" s="8" t="str">
        <x:f>IF(I96="Không áp dụng",IF(AND(S96&lt;&gt;"",M96&lt;&gt;"",ISNUMBER(N96)),"Không áp dụng đã duyệt","Chờ duyệt không áp dụng"),IF(I96&lt;&gt;"Có","Chưa chốt phạm vi",IF(J96="Chưa xác minh","Chưa đủ bằng chứng",IF(J96&lt;&gt;"Đầy đủ","Cần bổ sung triển khai",IF(K96="","Thiếu bằng chứng",IF(L96&lt;&gt;"Đạt",IF(L96="Không đạt","Cần khắc phục","Chưa kiểm tra"),IF(OR(M96="",NOT(ISNUMBER(N96))),"Chờ xác nhận","Đủ hồ sơ kiểm tra")))))))</x:f>
        <x:v>Chưa đủ bằng chứng</x:v>
      </x:c>
      <x:c r="S96" s="9" t="str"/>
    </x:row>
    <x:row r="97" ht="98" customHeight="1">
      <x:c r="A97" s="4" t="str">
        <x:v>TC-092</x:v>
      </x:c>
      <x:c r="B97" s="4" t="str">
        <x:v>Phát triển an toàn</x:v>
      </x:c>
      <x:c r="C97" s="4" t="str">
        <x:v>TCVN 14423:2026
6.16.2.4 • tr.78–79</x:v>
      </x:c>
      <x:c r="D97" s="4" t="str">
        <x:v>Thành phần bên thứ ba
Quản lý danh sách thành phần hiện tại/dự kiến và rủi ro; cập nhật ít nhất hằng quý.</x:v>
      </x:c>
      <x:c r="E97" s="4" t="str">
        <x:v>So image đang chạy với SBOM và kết quả SCA.</x:v>
      </x:c>
      <x:c r="F97" s="4" t="str">
        <x:v>SBOM; SCA; catalog dependency; review quý.</x:v>
      </x:c>
      <x:c r="G97" s="4" t="str">
        <x:v>DevSecOps</x:v>
      </x:c>
      <x:c r="H97" s="9" t="str">
        <x:v>DC Cầu Giấy và DR Nam Thăng Long</x:v>
      </x:c>
      <x:c r="I97" s="9" t="str">
        <x:v>Có</x:v>
      </x:c>
      <x:c r="J97" s="9" t="str">
        <x:v>Chưa xác minh</x:v>
      </x:c>
      <x:c r="K97" s="9" t="str"/>
      <x:c r="L97" s="9" t="str">
        <x:v>Chưa kiểm tra</x:v>
      </x:c>
      <x:c r="M97" s="9" t="str"/>
      <x:c r="N97" s="10"/>
      <x:c r="O97" s="9" t="str"/>
      <x:c r="P97" s="9" t="str"/>
      <x:c r="Q97" s="10"/>
      <x:c r="R97" s="4" t="str">
        <x:f>IF(I97="Không áp dụng",IF(AND(S97&lt;&gt;"",M97&lt;&gt;"",ISNUMBER(N97)),"Không áp dụng đã duyệt","Chờ duyệt không áp dụng"),IF(I97&lt;&gt;"Có","Chưa chốt phạm vi",IF(J97="Chưa xác minh","Chưa đủ bằng chứng",IF(J97&lt;&gt;"Đầy đủ","Cần bổ sung triển khai",IF(K97="","Thiếu bằng chứng",IF(L97&lt;&gt;"Đạt",IF(L97="Không đạt","Cần khắc phục","Chưa kiểm tra"),IF(OR(M97="",NOT(ISNUMBER(N97))),"Chờ xác nhận","Đủ hồ sơ kiểm tra")))))))</x:f>
        <x:v>Chưa đủ bằng chứng</x:v>
      </x:c>
      <x:c r="S97" s="9" t="str"/>
    </x:row>
    <x:row r="98" ht="98" customHeight="1">
      <x:c r="A98" s="8" t="str">
        <x:v>TC-093</x:v>
      </x:c>
      <x:c r="B98" s="8" t="str">
        <x:v>Phát triển an toàn</x:v>
      </x:c>
      <x:c r="C98" s="8" t="str">
        <x:v>TCVN 14423:2026
6.16.2.5 • tr.79</x:v>
      </x:c>
      <x:c r="D98" s="8" t="str">
        <x:v>Tách môi trường
Tách dev/test/production; không lưu bí mật trong mã nguồn.</x:v>
      </x:c>
      <x:c r="E98" s="8" t="str">
        <x:v>Thử runner dev không triển khai hoặc đọc bí mật production.</x:v>
      </x:c>
      <x:c r="F98" s="8" t="str">
        <x:v>Sơ đồ; quyền CI; secret scan.</x:v>
      </x:c>
      <x:c r="G98" s="8" t="str">
        <x:v>DevSecOps</x:v>
      </x:c>
      <x:c r="H98" s="9" t="str">
        <x:v>DC Cầu Giấy và DR Nam Thăng Long</x:v>
      </x:c>
      <x:c r="I98" s="9" t="str">
        <x:v>Có</x:v>
      </x:c>
      <x:c r="J98" s="9" t="str">
        <x:v>Chưa xác minh</x:v>
      </x:c>
      <x:c r="K98" s="9" t="str"/>
      <x:c r="L98" s="9" t="str">
        <x:v>Chưa kiểm tra</x:v>
      </x:c>
      <x:c r="M98" s="9" t="str"/>
      <x:c r="N98" s="10"/>
      <x:c r="O98" s="9" t="str"/>
      <x:c r="P98" s="9" t="str"/>
      <x:c r="Q98" s="10"/>
      <x:c r="R98" s="8" t="str">
        <x:f>IF(I98="Không áp dụng",IF(AND(S98&lt;&gt;"",M98&lt;&gt;"",ISNUMBER(N98)),"Không áp dụng đã duyệt","Chờ duyệt không áp dụng"),IF(I98&lt;&gt;"Có","Chưa chốt phạm vi",IF(J98="Chưa xác minh","Chưa đủ bằng chứng",IF(J98&lt;&gt;"Đầy đủ","Cần bổ sung triển khai",IF(K98="","Thiếu bằng chứng",IF(L98&lt;&gt;"Đạt",IF(L98="Không đạt","Cần khắc phục","Chưa kiểm tra"),IF(OR(M98="",NOT(ISNUMBER(N98))),"Chờ xác nhận","Đủ hồ sơ kiểm tra")))))))</x:f>
        <x:v>Chưa đủ bằng chứng</x:v>
      </x:c>
      <x:c r="S98" s="9" t="str"/>
    </x:row>
    <x:row r="99" ht="98" customHeight="1">
      <x:c r="A99" s="4" t="str">
        <x:v>TC-094</x:v>
      </x:c>
      <x:c r="B99" s="4" t="str">
        <x:v>Phát triển an toàn</x:v>
      </x:c>
      <x:c r="C99" s="4" t="str">
        <x:v>TCVN 14423:2026
6.16.2.6 • tr.79</x:v>
      </x:c>
      <x:c r="D99" s="4" t="str">
        <x:v>Đào tạo lập trình
Đào tạo phát triển an toàn phù hợp môi trường ít nhất hằng năm.</x:v>
      </x:c>
      <x:c r="E99" s="4" t="str">
        <x:v>Đối chiếu toàn bộ developer/reviewer với lịch đào tạo.</x:v>
      </x:c>
      <x:c r="F99" s="4" t="str">
        <x:v>Danh sách học; nội dung; bài kiểm tra.</x:v>
      </x:c>
      <x:c r="G99" s="4" t="str">
        <x:v>DevSecOps</x:v>
      </x:c>
      <x:c r="H99" s="9" t="str">
        <x:v>DC Cầu Giấy và DR Nam Thăng Long</x:v>
      </x:c>
      <x:c r="I99" s="9" t="str">
        <x:v>Có</x:v>
      </x:c>
      <x:c r="J99" s="9" t="str">
        <x:v>Chưa xác minh</x:v>
      </x:c>
      <x:c r="K99" s="9" t="str"/>
      <x:c r="L99" s="9" t="str">
        <x:v>Chưa kiểm tra</x:v>
      </x:c>
      <x:c r="M99" s="9" t="str"/>
      <x:c r="N99" s="10"/>
      <x:c r="O99" s="9" t="str"/>
      <x:c r="P99" s="9" t="str"/>
      <x:c r="Q99" s="10"/>
      <x:c r="R99" s="4" t="str">
        <x:f>IF(I99="Không áp dụng",IF(AND(S99&lt;&gt;"",M99&lt;&gt;"",ISNUMBER(N99)),"Không áp dụng đã duyệt","Chờ duyệt không áp dụng"),IF(I99&lt;&gt;"Có","Chưa chốt phạm vi",IF(J99="Chưa xác minh","Chưa đủ bằng chứng",IF(J99&lt;&gt;"Đầy đủ","Cần bổ sung triển khai",IF(K99="","Thiếu bằng chứng",IF(L99&lt;&gt;"Đạt",IF(L99="Không đạt","Cần khắc phục","Chưa kiểm tra"),IF(OR(M99="",NOT(ISNUMBER(N99))),"Chờ xác nhận","Đủ hồ sơ kiểm tra")))))))</x:f>
        <x:v>Chưa đủ bằng chứng</x:v>
      </x:c>
      <x:c r="S99" s="9" t="str"/>
    </x:row>
    <x:row r="100" ht="98" customHeight="1">
      <x:c r="A100" s="8" t="str">
        <x:v>TC-095</x:v>
      </x:c>
      <x:c r="B100" s="8" t="str">
        <x:v>Phát triển an toàn</x:v>
      </x:c>
      <x:c r="C100" s="8" t="str">
        <x:v>TCVN 14423:2026
6.16.2.7 • tr.79</x:v>
      </x:c>
      <x:c r="D100" s="8" t="str">
        <x:v>Kiến trúc ứng dụng an toàn
Kiểm tra đầu vào/ra; chống tấn công phổ biến; xử lý lỗi; quản lý phiên; không hardcode bí mật.</x:v>
      </x:c>
      <x:c r="E100" s="8" t="str">
        <x:v>Thử đầu vào bất thường, phân quyền, phiên và thông báo lỗi.</x:v>
      </x:c>
      <x:c r="F100" s="8" t="str">
        <x:v>Threat model; code review; test; secret scan.</x:v>
      </x:c>
      <x:c r="G100" s="8" t="str">
        <x:v>DevSecOps</x:v>
      </x:c>
      <x:c r="H100" s="9" t="str">
        <x:v>DC Cầu Giấy và DR Nam Thăng Long</x:v>
      </x:c>
      <x:c r="I100" s="9" t="str">
        <x:v>Có</x:v>
      </x:c>
      <x:c r="J100" s="9" t="str">
        <x:v>Chưa xác minh</x:v>
      </x:c>
      <x:c r="K100" s="9" t="str"/>
      <x:c r="L100" s="9" t="str">
        <x:v>Chưa kiểm tra</x:v>
      </x:c>
      <x:c r="M100" s="9" t="str"/>
      <x:c r="N100" s="10"/>
      <x:c r="O100" s="9" t="str"/>
      <x:c r="P100" s="9" t="str"/>
      <x:c r="Q100" s="10"/>
      <x:c r="R100" s="8" t="str">
        <x:f>IF(I100="Không áp dụng",IF(AND(S100&lt;&gt;"",M100&lt;&gt;"",ISNUMBER(N100)),"Không áp dụng đã duyệt","Chờ duyệt không áp dụng"),IF(I100&lt;&gt;"Có","Chưa chốt phạm vi",IF(J100="Chưa xác minh","Chưa đủ bằng chứng",IF(J100&lt;&gt;"Đầy đủ","Cần bổ sung triển khai",IF(K100="","Thiếu bằng chứng",IF(L100&lt;&gt;"Đạt",IF(L100="Không đạt","Cần khắc phục","Chưa kiểm tra"),IF(OR(M100="",NOT(ISNUMBER(N100))),"Chờ xác nhận","Đủ hồ sơ kiểm tra")))))))</x:f>
        <x:v>Chưa đủ bằng chứng</x:v>
      </x:c>
      <x:c r="S100" s="9" t="str"/>
    </x:row>
    <x:row r="101" ht="98" customHeight="1">
      <x:c r="A101" s="4" t="str">
        <x:v>TC-096</x:v>
      </x:c>
      <x:c r="B101" s="4" t="str">
        <x:v>Phát triển an toàn</x:v>
      </x:c>
      <x:c r="C101" s="4" t="str">
        <x:v>TCVN 14423:2026
6.16.2.8 • tr.79</x:v>
      </x:c>
      <x:c r="D101" s="4" t="str">
        <x:v>Thành phần bảo mật tin cậy
Dùng mô-đun được kiểm chứng, mật mã mạnh và log hành vi người dùng.</x:v>
      </x:c>
      <x:c r="E101" s="4" t="str">
        <x:v>Kiểm tra thuật toán, dependency và khả năng truy vết thao tác.</x:v>
      </x:c>
      <x:c r="F101" s="4" t="str">
        <x:v>Danh mục thư viện; review; mẫu audit.</x:v>
      </x:c>
      <x:c r="G101" s="4" t="str">
        <x:v>DevSecOps</x:v>
      </x:c>
      <x:c r="H101" s="9" t="str">
        <x:v>DC Cầu Giấy và DR Nam Thăng Long</x:v>
      </x:c>
      <x:c r="I101" s="9" t="str">
        <x:v>Có</x:v>
      </x:c>
      <x:c r="J101" s="9" t="str">
        <x:v>Chưa xác minh</x:v>
      </x:c>
      <x:c r="K101" s="9" t="str"/>
      <x:c r="L101" s="9" t="str">
        <x:v>Chưa kiểm tra</x:v>
      </x:c>
      <x:c r="M101" s="9" t="str"/>
      <x:c r="N101" s="10"/>
      <x:c r="O101" s="9" t="str"/>
      <x:c r="P101" s="9" t="str"/>
      <x:c r="Q101" s="10"/>
      <x:c r="R101" s="4" t="str">
        <x:f>IF(I101="Không áp dụng",IF(AND(S101&lt;&gt;"",M101&lt;&gt;"",ISNUMBER(N101)),"Không áp dụng đã duyệt","Chờ duyệt không áp dụng"),IF(I101&lt;&gt;"Có","Chưa chốt phạm vi",IF(J101="Chưa xác minh","Chưa đủ bằng chứng",IF(J101&lt;&gt;"Đầy đủ","Cần bổ sung triển khai",IF(K101="","Thiếu bằng chứng",IF(L101&lt;&gt;"Đạt",IF(L101="Không đạt","Cần khắc phục","Chưa kiểm tra"),IF(OR(M101="",NOT(ISNUMBER(N101))),"Chờ xác nhận","Đủ hồ sơ kiểm tra")))))))</x:f>
        <x:v>Chưa đủ bằng chứng</x:v>
      </x:c>
      <x:c r="S101" s="9" t="str"/>
    </x:row>
    <x:row r="102" ht="98" customHeight="1">
      <x:c r="A102" s="8" t="str">
        <x:v>TC-097</x:v>
      </x:c>
      <x:c r="B102" s="8" t="str">
        <x:v>Phát triển an toàn</x:v>
      </x:c>
      <x:c r="C102" s="8" t="str">
        <x:v>TCVN 14423:2026
6.16.2.9 • tr.79</x:v>
      </x:c>
      <x:c r="D102" s="8" t="str">
        <x:v>Kiểm tra trước phát hành
Kiểm tra mã nguồn/dependency; pentest và xử lý lỗ hổng trước production.</x:v>
      </x:c>
      <x:c r="E102" s="8" t="str">
        <x:v>Chọn release và xác minh không bỏ qua điều kiện phát hành.</x:v>
      </x:c>
      <x:c r="F102" s="8" t="str">
        <x:v>Báo cáo; waiver có hạn; phê duyệt release.</x:v>
      </x:c>
      <x:c r="G102" s="8" t="str">
        <x:v>DevSecOps</x:v>
      </x:c>
      <x:c r="H102" s="9" t="str">
        <x:v>DC Cầu Giấy và DR Nam Thăng Long</x:v>
      </x:c>
      <x:c r="I102" s="9" t="str">
        <x:v>Có</x:v>
      </x:c>
      <x:c r="J102" s="9" t="str">
        <x:v>Chưa xác minh</x:v>
      </x:c>
      <x:c r="K102" s="9" t="str"/>
      <x:c r="L102" s="9" t="str">
        <x:v>Chưa kiểm tra</x:v>
      </x:c>
      <x:c r="M102" s="9" t="str"/>
      <x:c r="N102" s="10"/>
      <x:c r="O102" s="9" t="str"/>
      <x:c r="P102" s="9" t="str"/>
      <x:c r="Q102" s="10"/>
      <x:c r="R102" s="8" t="str">
        <x:f>IF(I102="Không áp dụng",IF(AND(S102&lt;&gt;"",M102&lt;&gt;"",ISNUMBER(N102)),"Không áp dụng đã duyệt","Chờ duyệt không áp dụng"),IF(I102&lt;&gt;"Có","Chưa chốt phạm vi",IF(J102="Chưa xác minh","Chưa đủ bằng chứng",IF(J102&lt;&gt;"Đầy đủ","Cần bổ sung triển khai",IF(K102="","Thiếu bằng chứng",IF(L102&lt;&gt;"Đạt",IF(L102="Không đạt","Cần khắc phục","Chưa kiểm tra"),IF(OR(M102="",NOT(ISNUMBER(N102))),"Chờ xác nhận","Đủ hồ sơ kiểm tra")))))))</x:f>
        <x:v>Chưa đủ bằng chứng</x:v>
      </x:c>
      <x:c r="S102" s="9" t="str"/>
    </x:row>
    <x:row r="103" ht="98" customHeight="1">
      <x:c r="A103" s="4" t="str">
        <x:v>TC-098</x:v>
      </x:c>
      <x:c r="B103" s="4" t="str">
        <x:v>Ứng phó sự cố</x:v>
      </x:c>
      <x:c r="C103" s="4" t="str">
        <x:v>TCVN 14423:2026
6.17.2.1 • tr.80</x:v>
      </x:c>
      <x:c r="D103" s="4" t="str">
        <x:v>Lực lượng ứng phó
Có đầu mối chính và ít nhất một dự phòng, vai trò phối hợp; xác minh liên hệ hằng năm.</x:v>
      </x:c>
      <x:c r="E103" s="4" t="str">
        <x:v>Thử gọi theo kịch bản và kiểm tra người dự phòng.</x:v>
      </x:c>
      <x:c r="F103" s="4" t="str">
        <x:v>Quyết định; danh bạ; lịch trực; xác minh liên hệ.</x:v>
      </x:c>
      <x:c r="G103" s="4" t="str">
        <x:v>CSIRT và SOC</x:v>
      </x:c>
      <x:c r="H103" s="9" t="str">
        <x:v>DC Cầu Giấy và DR Nam Thăng Long</x:v>
      </x:c>
      <x:c r="I103" s="9" t="str">
        <x:v>Có</x:v>
      </x:c>
      <x:c r="J103" s="9" t="str">
        <x:v>Chưa xác minh</x:v>
      </x:c>
      <x:c r="K103" s="9" t="str"/>
      <x:c r="L103" s="9" t="str">
        <x:v>Chưa kiểm tra</x:v>
      </x:c>
      <x:c r="M103" s="9" t="str"/>
      <x:c r="N103" s="10"/>
      <x:c r="O103" s="9" t="str"/>
      <x:c r="P103" s="9" t="str"/>
      <x:c r="Q103" s="10"/>
      <x:c r="R103" s="4" t="str">
        <x:f>IF(I103="Không áp dụng",IF(AND(S103&lt;&gt;"",M103&lt;&gt;"",ISNUMBER(N103)),"Không áp dụng đã duyệt","Chờ duyệt không áp dụng"),IF(I103&lt;&gt;"Có","Chưa chốt phạm vi",IF(J103="Chưa xác minh","Chưa đủ bằng chứng",IF(J103&lt;&gt;"Đầy đủ","Cần bổ sung triển khai",IF(K103="","Thiếu bằng chứng",IF(L103&lt;&gt;"Đạt",IF(L103="Không đạt","Cần khắc phục","Chưa kiểm tra"),IF(OR(M103="",NOT(ISNUMBER(N103))),"Chờ xác nhận","Đủ hồ sơ kiểm tra")))))))</x:f>
        <x:v>Chưa đủ bằng chứng</x:v>
      </x:c>
      <x:c r="S103" s="9" t="str"/>
    </x:row>
    <x:row r="104" ht="98" customHeight="1">
      <x:c r="A104" s="8" t="str">
        <x:v>TC-099</x:v>
      </x:c>
      <x:c r="B104" s="8" t="str">
        <x:v>Ứng phó sự cố</x:v>
      </x:c>
      <x:c r="C104" s="8" t="str">
        <x:v>TCVN 14423:2026
6.17.2.2 • tr.80</x:v>
      </x:c>
      <x:c r="D104" s="8" t="str">
        <x:v>Báo cáo sự cố
Có quy trình nội bộ, phân nhóm; rà soát hằng năm/khi đổi.</x:v>
      </x:c>
      <x:c r="E104" s="8" t="str">
        <x:v>Đi qua một sự cố giả lập từ phát hiện đến báo cáo.</x:v>
      </x:c>
      <x:c r="F104" s="8" t="str">
        <x:v>Quy trình; mẫu báo cáo; ticket.</x:v>
      </x:c>
      <x:c r="G104" s="8" t="str">
        <x:v>CSIRT và SOC</x:v>
      </x:c>
      <x:c r="H104" s="9" t="str">
        <x:v>DC Cầu Giấy và DR Nam Thăng Long</x:v>
      </x:c>
      <x:c r="I104" s="9" t="str">
        <x:v>Có</x:v>
      </x:c>
      <x:c r="J104" s="9" t="str">
        <x:v>Chưa xác minh</x:v>
      </x:c>
      <x:c r="K104" s="9" t="str"/>
      <x:c r="L104" s="9" t="str">
        <x:v>Chưa kiểm tra</x:v>
      </x:c>
      <x:c r="M104" s="9" t="str"/>
      <x:c r="N104" s="10"/>
      <x:c r="O104" s="9" t="str"/>
      <x:c r="P104" s="9" t="str"/>
      <x:c r="Q104" s="10"/>
      <x:c r="R104" s="8" t="str">
        <x:f>IF(I104="Không áp dụng",IF(AND(S104&lt;&gt;"",M104&lt;&gt;"",ISNUMBER(N104)),"Không áp dụng đã duyệt","Chờ duyệt không áp dụng"),IF(I104&lt;&gt;"Có","Chưa chốt phạm vi",IF(J104="Chưa xác minh","Chưa đủ bằng chứng",IF(J104&lt;&gt;"Đầy đủ","Cần bổ sung triển khai",IF(K104="","Thiếu bằng chứng",IF(L104&lt;&gt;"Đạt",IF(L104="Không đạt","Cần khắc phục","Chưa kiểm tra"),IF(OR(M104="",NOT(ISNUMBER(N104))),"Chờ xác nhận","Đủ hồ sơ kiểm tra")))))))</x:f>
        <x:v>Chưa đủ bằng chứng</x:v>
      </x:c>
      <x:c r="S104" s="9" t="str"/>
    </x:row>
    <x:row r="105" ht="98" customHeight="1">
      <x:c r="A105" s="4" t="str">
        <x:v>TC-100</x:v>
      </x:c>
      <x:c r="B105" s="4" t="str">
        <x:v>Ứng phó sự cố</x:v>
      </x:c>
      <x:c r="C105" s="4" t="str">
        <x:v>TCVN 14423:2026
6.17.2.3 • tr.80</x:v>
      </x:c>
      <x:c r="D105" s="4" t="str">
        <x:v>Quy trình ứng phó
Có quy trình phối hợp cơ quan chức năng, chuyên gia, nhà cung cấp; rà soát hằng năm/khi đổi.</x:v>
      </x:c>
      <x:c r="E105" s="4" t="str">
        <x:v>Diễn tập cô lập, bảo toàn chứng cứ, khôi phục theo quyền hạn.</x:v>
      </x:c>
      <x:c r="F105" s="4" t="str">
        <x:v>Playbook; danh sách phối hợp; biên bản.</x:v>
      </x:c>
      <x:c r="G105" s="4" t="str">
        <x:v>CSIRT và SOC</x:v>
      </x:c>
      <x:c r="H105" s="9" t="str">
        <x:v>DC Cầu Giấy và DR Nam Thăng Long</x:v>
      </x:c>
      <x:c r="I105" s="9" t="str">
        <x:v>Có</x:v>
      </x:c>
      <x:c r="J105" s="9" t="str">
        <x:v>Chưa xác minh</x:v>
      </x:c>
      <x:c r="K105" s="9" t="str"/>
      <x:c r="L105" s="9" t="str">
        <x:v>Chưa kiểm tra</x:v>
      </x:c>
      <x:c r="M105" s="9" t="str"/>
      <x:c r="N105" s="10"/>
      <x:c r="O105" s="9" t="str"/>
      <x:c r="P105" s="9" t="str"/>
      <x:c r="Q105" s="10"/>
      <x:c r="R105" s="4" t="str">
        <x:f>IF(I105="Không áp dụng",IF(AND(S105&lt;&gt;"",M105&lt;&gt;"",ISNUMBER(N105)),"Không áp dụng đã duyệt","Chờ duyệt không áp dụng"),IF(I105&lt;&gt;"Có","Chưa chốt phạm vi",IF(J105="Chưa xác minh","Chưa đủ bằng chứng",IF(J105&lt;&gt;"Đầy đủ","Cần bổ sung triển khai",IF(K105="","Thiếu bằng chứng",IF(L105&lt;&gt;"Đạt",IF(L105="Không đạt","Cần khắc phục","Chưa kiểm tra"),IF(OR(M105="",NOT(ISNUMBER(N105))),"Chờ xác nhận","Đủ hồ sơ kiểm tra")))))))</x:f>
        <x:v>Chưa đủ bằng chứng</x:v>
      </x:c>
      <x:c r="S105" s="9" t="str"/>
    </x:row>
    <x:row r="106" ht="98" customHeight="1">
      <x:c r="A106" s="8" t="str">
        <x:v>TC-101</x:v>
      </x:c>
      <x:c r="B106" s="8" t="str">
        <x:v>Ứng phó sự cố</x:v>
      </x:c>
      <x:c r="C106" s="8" t="str">
        <x:v>TCVN 14423:2026
6.17.2.4 • tr.80</x:v>
      </x:c>
      <x:c r="D106" s="8" t="str">
        <x:v>Kênh liên lạc dự phòng
Có kênh chính/phụ; rà soát hằng năm/khi đổi.</x:v>
      </x:c>
      <x:c r="E106" s="8" t="str">
        <x:v>Thử liên lạc khi kênh chính không hoạt động.</x:v>
      </x:c>
      <x:c r="F106" s="8" t="str">
        <x:v>Danh bạ ngoại tuyến được bảo vệ; biên bản thử.</x:v>
      </x:c>
      <x:c r="G106" s="8" t="str">
        <x:v>CSIRT và SOC</x:v>
      </x:c>
      <x:c r="H106" s="9" t="str">
        <x:v>DC Cầu Giấy và DR Nam Thăng Long</x:v>
      </x:c>
      <x:c r="I106" s="9" t="str">
        <x:v>Có</x:v>
      </x:c>
      <x:c r="J106" s="9" t="str">
        <x:v>Chưa xác minh</x:v>
      </x:c>
      <x:c r="K106" s="9" t="str"/>
      <x:c r="L106" s="9" t="str">
        <x:v>Chưa kiểm tra</x:v>
      </x:c>
      <x:c r="M106" s="9" t="str"/>
      <x:c r="N106" s="10"/>
      <x:c r="O106" s="9" t="str"/>
      <x:c r="P106" s="9" t="str"/>
      <x:c r="Q106" s="10"/>
      <x:c r="R106" s="8" t="str">
        <x:f>IF(I106="Không áp dụng",IF(AND(S106&lt;&gt;"",M106&lt;&gt;"",ISNUMBER(N106)),"Không áp dụng đã duyệt","Chờ duyệt không áp dụng"),IF(I106&lt;&gt;"Có","Chưa chốt phạm vi",IF(J106="Chưa xác minh","Chưa đủ bằng chứng",IF(J106&lt;&gt;"Đầy đủ","Cần bổ sung triển khai",IF(K106="","Thiếu bằng chứng",IF(L106&lt;&gt;"Đạt",IF(L106="Không đạt","Cần khắc phục","Chưa kiểm tra"),IF(OR(M106="",NOT(ISNUMBER(N106))),"Chờ xác nhận","Đủ hồ sơ kiểm tra")))))))</x:f>
        <x:v>Chưa đủ bằng chứng</x:v>
      </x:c>
      <x:c r="S106" s="9" t="str"/>
    </x:row>
    <x:row r="107" ht="98" customHeight="1">
      <x:c r="A107" s="4" t="str">
        <x:v>TC-102</x:v>
      </x:c>
      <x:c r="B107" s="4" t="str">
        <x:v>Ứng phó sự cố</x:v>
      </x:c>
      <x:c r="C107" s="4" t="str">
        <x:v>TCVN 14423:2026
6.17.2.5 • tr.80</x:v>
      </x:c>
      <x:c r="D107" s="4" t="str">
        <x:v>Đánh giá sau sự cố
Thực hiện đánh giá sau sự cố.</x:v>
      </x:c>
      <x:c r="E107" s="4" t="str">
        <x:v>Kiểm tra hành động hậu kiểm đã có retest hoặc tiến độ.</x:v>
      </x:c>
      <x:c r="F107" s="4" t="str">
        <x:v>Báo cáo hậu kiểm; ticket cải tiến.</x:v>
      </x:c>
      <x:c r="G107" s="4" t="str">
        <x:v>CSIRT và SOC</x:v>
      </x:c>
      <x:c r="H107" s="9" t="str">
        <x:v>DC Cầu Giấy và DR Nam Thăng Long</x:v>
      </x:c>
      <x:c r="I107" s="9" t="str">
        <x:v>Có</x:v>
      </x:c>
      <x:c r="J107" s="9" t="str">
        <x:v>Chưa xác minh</x:v>
      </x:c>
      <x:c r="K107" s="9" t="str"/>
      <x:c r="L107" s="9" t="str">
        <x:v>Chưa kiểm tra</x:v>
      </x:c>
      <x:c r="M107" s="9" t="str"/>
      <x:c r="N107" s="10"/>
      <x:c r="O107" s="9" t="str"/>
      <x:c r="P107" s="9" t="str"/>
      <x:c r="Q107" s="10"/>
      <x:c r="R107" s="4" t="str">
        <x:f>IF(I107="Không áp dụng",IF(AND(S107&lt;&gt;"",M107&lt;&gt;"",ISNUMBER(N107)),"Không áp dụng đã duyệt","Chờ duyệt không áp dụng"),IF(I107&lt;&gt;"Có","Chưa chốt phạm vi",IF(J107="Chưa xác minh","Chưa đủ bằng chứng",IF(J107&lt;&gt;"Đầy đủ","Cần bổ sung triển khai",IF(K107="","Thiếu bằng chứng",IF(L107&lt;&gt;"Đạt",IF(L107="Không đạt","Cần khắc phục","Chưa kiểm tra"),IF(OR(M107="",NOT(ISNUMBER(N107))),"Chờ xác nhận","Đủ hồ sơ kiểm tra")))))))</x:f>
        <x:v>Chưa đủ bằng chứng</x:v>
      </x:c>
      <x:c r="S107" s="9" t="str"/>
    </x:row>
    <x:row r="108" ht="98" customHeight="1">
      <x:c r="A108" s="8" t="str">
        <x:v>TC-103</x:v>
      </x:c>
      <x:c r="B108" s="8" t="str">
        <x:v>Ứng phó sự cố</x:v>
      </x:c>
      <x:c r="C108" s="8" t="str">
        <x:v>TCVN 14423:2026
6.17.2.6 • tr.80</x:v>
      </x:c>
      <x:c r="D108" s="8" t="str">
        <x:v>Diễn tập
Có kế hoạch và diễn tập ít nhất hằng năm.</x:v>
      </x:c>
      <x:c r="E108" s="8" t="str">
        <x:v>Đối chiếu thời gian, kịch bản, kết quả và hành động sau diễn tập.</x:v>
      </x:c>
      <x:c r="F108" s="8" t="str">
        <x:v>Kế hoạch; biên bản; bài học; danh sách tham dự.</x:v>
      </x:c>
      <x:c r="G108" s="8" t="str">
        <x:v>CSIRT và SOC</x:v>
      </x:c>
      <x:c r="H108" s="9" t="str">
        <x:v>DC Cầu Giấy và DR Nam Thăng Long</x:v>
      </x:c>
      <x:c r="I108" s="9" t="str">
        <x:v>Có</x:v>
      </x:c>
      <x:c r="J108" s="9" t="str">
        <x:v>Chưa xác minh</x:v>
      </x:c>
      <x:c r="K108" s="9" t="str"/>
      <x:c r="L108" s="9" t="str">
        <x:v>Chưa kiểm tra</x:v>
      </x:c>
      <x:c r="M108" s="9" t="str"/>
      <x:c r="N108" s="10"/>
      <x:c r="O108" s="9" t="str"/>
      <x:c r="P108" s="9" t="str"/>
      <x:c r="Q108" s="10"/>
      <x:c r="R108" s="8" t="str">
        <x:f>IF(I108="Không áp dụng",IF(AND(S108&lt;&gt;"",M108&lt;&gt;"",ISNUMBER(N108)),"Không áp dụng đã duyệt","Chờ duyệt không áp dụng"),IF(I108&lt;&gt;"Có","Chưa chốt phạm vi",IF(J108="Chưa xác minh","Chưa đủ bằng chứng",IF(J108&lt;&gt;"Đầy đủ","Cần bổ sung triển khai",IF(K108="","Thiếu bằng chứng",IF(L108&lt;&gt;"Đạt",IF(L108="Không đạt","Cần khắc phục","Chưa kiểm tra"),IF(OR(M108="",NOT(ISNUMBER(N108))),"Chờ xác nhận","Đủ hồ sơ kiểm tra")))))))</x:f>
        <x:v>Chưa đủ bằng chứng</x:v>
      </x:c>
      <x:c r="S108" s="9" t="str"/>
    </x:row>
    <x:row r="109" ht="98" customHeight="1">
      <x:c r="A109" s="4" t="str">
        <x:v>TC-104</x:v>
      </x:c>
      <x:c r="B109" s="4" t="str">
        <x:v>Ứng phó sự cố</x:v>
      </x:c>
      <x:c r="C109" s="4" t="str">
        <x:v>TCVN 14423:2026
6.17.2.7 • tr.80</x:v>
      </x:c>
      <x:c r="D109" s="4" t="str">
        <x:v>Ngưỡng sự cố
Thiết lập, duy trì ngưỡng và cập nhật hằng năm/khi đổi.</x:v>
      </x:c>
      <x:c r="E109" s="4" t="str">
        <x:v>Thử phân loại một tình huống ở hai mức lân cận.</x:v>
      </x:c>
      <x:c r="F109" s="4" t="str">
        <x:v>Ma trận phân loại; phê duyệt; lịch sử sửa.</x:v>
      </x:c>
      <x:c r="G109" s="4" t="str">
        <x:v>CSIRT và SOC</x:v>
      </x:c>
      <x:c r="H109" s="9" t="str">
        <x:v>DC Cầu Giấy và DR Nam Thăng Long</x:v>
      </x:c>
      <x:c r="I109" s="9" t="str">
        <x:v>Có</x:v>
      </x:c>
      <x:c r="J109" s="9" t="str">
        <x:v>Chưa xác minh</x:v>
      </x:c>
      <x:c r="K109" s="9" t="str"/>
      <x:c r="L109" s="9" t="str">
        <x:v>Chưa kiểm tra</x:v>
      </x:c>
      <x:c r="M109" s="9" t="str"/>
      <x:c r="N109" s="10"/>
      <x:c r="O109" s="9" t="str"/>
      <x:c r="P109" s="9" t="str"/>
      <x:c r="Q109" s="10"/>
      <x:c r="R109" s="4" t="str">
        <x:f>IF(I109="Không áp dụng",IF(AND(S109&lt;&gt;"",M109&lt;&gt;"",ISNUMBER(N109)),"Không áp dụng đã duyệt","Chờ duyệt không áp dụng"),IF(I109&lt;&gt;"Có","Chưa chốt phạm vi",IF(J109="Chưa xác minh","Chưa đủ bằng chứng",IF(J109&lt;&gt;"Đầy đủ","Cần bổ sung triển khai",IF(K109="","Thiếu bằng chứng",IF(L109&lt;&gt;"Đạt",IF(L109="Không đạt","Cần khắc phục","Chưa kiểm tra"),IF(OR(M109="",NOT(ISNUMBER(N109))),"Chờ xác nhận","Đủ hồ sơ kiểm tra")))))))</x:f>
        <x:v>Chưa đủ bằng chứng</x:v>
      </x:c>
      <x:c r="S109" s="9" t="str"/>
    </x:row>
    <x:row r="110" ht="98" customHeight="1">
      <x:c r="A110" s="8" t="str">
        <x:v>TC-105</x:v>
      </x:c>
      <x:c r="B110" s="8" t="str">
        <x:v>Kiểm tra an ninh</x:v>
      </x:c>
      <x:c r="C110" s="8" t="str">
        <x:v>TCVN 14423:2026
6.18.2.1 • tr.81</x:v>
      </x:c>
      <x:c r="D110" s="8" t="str">
        <x:v>Chương trình pentest
Phê duyệt phạm vi, thời gian, cách thử, đầu mối, giới hạn, bảo vệ dữ liệu và vận hành; ưu tiên môi trường phát triển/cửa sổ được duyệt.</x:v>
      </x:c>
      <x:c r="E110" s="8" t="str">
        <x:v>Kiểm tra phép thử chỉ nằm trong danh sách và có người phối hợp.</x:v>
      </x:c>
      <x:c r="F110" s="8" t="str">
        <x:v>ROE; phê duyệt; danh sách mục tiêu; cam kết bảo mật.</x:v>
      </x:c>
      <x:c r="G110" s="8" t="str">
        <x:v>Đánh giá độc lập và GRC</x:v>
      </x:c>
      <x:c r="H110" s="9" t="str">
        <x:v>DC Cầu Giấy và DR Nam Thăng Long</x:v>
      </x:c>
      <x:c r="I110" s="9" t="str">
        <x:v>Có</x:v>
      </x:c>
      <x:c r="J110" s="9" t="str">
        <x:v>Chưa xác minh</x:v>
      </x:c>
      <x:c r="K110" s="9" t="str"/>
      <x:c r="L110" s="9" t="str">
        <x:v>Chưa kiểm tra</x:v>
      </x:c>
      <x:c r="M110" s="9" t="str"/>
      <x:c r="N110" s="10"/>
      <x:c r="O110" s="9" t="str"/>
      <x:c r="P110" s="9" t="str"/>
      <x:c r="Q110" s="10"/>
      <x:c r="R110" s="8" t="str">
        <x:f>IF(I110="Không áp dụng",IF(AND(S110&lt;&gt;"",M110&lt;&gt;"",ISNUMBER(N110)),"Không áp dụng đã duyệt","Chờ duyệt không áp dụng"),IF(I110&lt;&gt;"Có","Chưa chốt phạm vi",IF(J110="Chưa xác minh","Chưa đủ bằng chứng",IF(J110&lt;&gt;"Đầy đủ","Cần bổ sung triển khai",IF(K110="","Thiếu bằng chứng",IF(L110&lt;&gt;"Đạt",IF(L110="Không đạt","Cần khắc phục","Chưa kiểm tra"),IF(OR(M110="",NOT(ISNUMBER(N110))),"Chờ xác nhận","Đủ hồ sơ kiểm tra")))))))</x:f>
        <x:v>Chưa đủ bằng chứng</x:v>
      </x:c>
      <x:c r="S110" s="9" t="str"/>
    </x:row>
    <x:row r="111" ht="98" customHeight="1">
      <x:c r="A111" s="4" t="str">
        <x:v>TC-106</x:v>
      </x:c>
      <x:c r="B111" s="4" t="str">
        <x:v>Kiểm tra an ninh</x:v>
      </x:c>
      <x:c r="C111" s="4" t="str">
        <x:v>TCVN 14423:2026
6.18.2.2 • tr.81</x:v>
      </x:c>
      <x:c r="D111" s="4" t="str">
        <x:v>Pentest bên ngoài
Kiểm thử ứng dụng/dịch vụ công khai ít nhất hằng năm.</x:v>
      </x:c>
      <x:c r="E111" s="4" t="str">
        <x:v>Đối chiếu toàn bộ dịch vụ công khai với phạm vi báo cáo.</x:v>
      </x:c>
      <x:c r="F111" s="4" t="str">
        <x:v>Báo cáo; phạm vi; ngày; retest.</x:v>
      </x:c>
      <x:c r="G111" s="4" t="str">
        <x:v>Đánh giá độc lập và GRC</x:v>
      </x:c>
      <x:c r="H111" s="9" t="str">
        <x:v>DC Cầu Giấy và DR Nam Thăng Long</x:v>
      </x:c>
      <x:c r="I111" s="9" t="str">
        <x:v>Có</x:v>
      </x:c>
      <x:c r="J111" s="9" t="str">
        <x:v>Chưa xác minh</x:v>
      </x:c>
      <x:c r="K111" s="9" t="str"/>
      <x:c r="L111" s="9" t="str">
        <x:v>Chưa kiểm tra</x:v>
      </x:c>
      <x:c r="M111" s="9" t="str"/>
      <x:c r="N111" s="10"/>
      <x:c r="O111" s="9" t="str"/>
      <x:c r="P111" s="9" t="str"/>
      <x:c r="Q111" s="10"/>
      <x:c r="R111" s="4" t="str">
        <x:f>IF(I111="Không áp dụng",IF(AND(S111&lt;&gt;"",M111&lt;&gt;"",ISNUMBER(N111)),"Không áp dụng đã duyệt","Chờ duyệt không áp dụng"),IF(I111&lt;&gt;"Có","Chưa chốt phạm vi",IF(J111="Chưa xác minh","Chưa đủ bằng chứng",IF(J111&lt;&gt;"Đầy đủ","Cần bổ sung triển khai",IF(K111="","Thiếu bằng chứng",IF(L111&lt;&gt;"Đạt",IF(L111="Không đạt","Cần khắc phục","Chưa kiểm tra"),IF(OR(M111="",NOT(ISNUMBER(N111))),"Chờ xác nhận","Đủ hồ sơ kiểm tra")))))))</x:f>
        <x:v>Chưa đủ bằng chứng</x:v>
      </x:c>
      <x:c r="S111" s="9" t="str"/>
    </x:row>
    <x:row r="112" ht="98" customHeight="1">
      <x:c r="A112" s="8" t="str">
        <x:v>TC-107</x:v>
      </x:c>
      <x:c r="B112" s="8" t="str">
        <x:v>Kiểm tra an ninh</x:v>
      </x:c>
      <x:c r="C112" s="8" t="str">
        <x:v>TCVN 14423:2026
6.18.2.3 • tr.81</x:v>
      </x:c>
      <x:c r="D112" s="8" t="str">
        <x:v>Khắc phục sau pentest
Xử lý tồn tại theo phạm vi và mức ưu tiên của tổ chức.</x:v>
      </x:c>
      <x:c r="E112" s="8" t="str">
        <x:v>Kiểm tra lỗi đã đóng bằng kết quả thử, không chỉ bằng cam kết.</x:v>
      </x:c>
      <x:c r="F112" s="8" t="str">
        <x:v>Danh sách phát hiện; ticket; retest.</x:v>
      </x:c>
      <x:c r="G112" s="8" t="str">
        <x:v>Đánh giá độc lập và GRC</x:v>
      </x:c>
      <x:c r="H112" s="9" t="str">
        <x:v>DC Cầu Giấy và DR Nam Thăng Long</x:v>
      </x:c>
      <x:c r="I112" s="9" t="str">
        <x:v>Có</x:v>
      </x:c>
      <x:c r="J112" s="9" t="str">
        <x:v>Chưa xác minh</x:v>
      </x:c>
      <x:c r="K112" s="9" t="str"/>
      <x:c r="L112" s="9" t="str">
        <x:v>Chưa kiểm tra</x:v>
      </x:c>
      <x:c r="M112" s="9" t="str"/>
      <x:c r="N112" s="10"/>
      <x:c r="O112" s="9" t="str"/>
      <x:c r="P112" s="9" t="str"/>
      <x:c r="Q112" s="10"/>
      <x:c r="R112" s="8" t="str">
        <x:f>IF(I112="Không áp dụng",IF(AND(S112&lt;&gt;"",M112&lt;&gt;"",ISNUMBER(N112)),"Không áp dụng đã duyệt","Chờ duyệt không áp dụng"),IF(I112&lt;&gt;"Có","Chưa chốt phạm vi",IF(J112="Chưa xác minh","Chưa đủ bằng chứng",IF(J112&lt;&gt;"Đầy đủ","Cần bổ sung triển khai",IF(K112="","Thiếu bằng chứng",IF(L112&lt;&gt;"Đạt",IF(L112="Không đạt","Cần khắc phục","Chưa kiểm tra"),IF(OR(M112="",NOT(ISNUMBER(N112))),"Chờ xác nhận","Đủ hồ sơ kiểm tra")))))))</x:f>
        <x:v>Chưa đủ bằng chứng</x:v>
      </x:c>
      <x:c r="S112" s="9" t="str"/>
    </x:row>
    <x:row r="113" ht="98" customHeight="1">
      <x:c r="A113" s="4" t="str">
        <x:v>TC-108</x:v>
      </x:c>
      <x:c r="B113" s="4" t="str">
        <x:v>Kiểm tra an ninh</x:v>
      </x:c>
      <x:c r="C113" s="4" t="str">
        <x:v>TCVN 14423:2026
6.18.2.4 • tr.81</x:v>
      </x:c>
      <x:c r="D113" s="4" t="str">
        <x:v>Hiệu lực kiểm soát
Đánh giá lại hiệu quả biện pháp sau mỗi đợt pentest.</x:v>
      </x:c>
      <x:c r="E113" s="4" t="str">
        <x:v>Đối chiếu một phát hiện với thay đổi kiểm soát.</x:v>
      </x:c>
      <x:c r="F113" s="4" t="str">
        <x:v>Biên bản review; rule/test bổ sung.</x:v>
      </x:c>
      <x:c r="G113" s="4" t="str">
        <x:v>Đánh giá độc lập và GRC</x:v>
      </x:c>
      <x:c r="H113" s="9" t="str">
        <x:v>DC Cầu Giấy và DR Nam Thăng Long</x:v>
      </x:c>
      <x:c r="I113" s="9" t="str">
        <x:v>Có</x:v>
      </x:c>
      <x:c r="J113" s="9" t="str">
        <x:v>Chưa xác minh</x:v>
      </x:c>
      <x:c r="K113" s="9" t="str"/>
      <x:c r="L113" s="9" t="str">
        <x:v>Chưa kiểm tra</x:v>
      </x:c>
      <x:c r="M113" s="9" t="str"/>
      <x:c r="N113" s="10"/>
      <x:c r="O113" s="9" t="str"/>
      <x:c r="P113" s="9" t="str"/>
      <x:c r="Q113" s="10"/>
      <x:c r="R113" s="4" t="str">
        <x:f>IF(I113="Không áp dụng",IF(AND(S113&lt;&gt;"",M113&lt;&gt;"",ISNUMBER(N113)),"Không áp dụng đã duyệt","Chờ duyệt không áp dụng"),IF(I113&lt;&gt;"Có","Chưa chốt phạm vi",IF(J113="Chưa xác minh","Chưa đủ bằng chứng",IF(J113&lt;&gt;"Đầy đủ","Cần bổ sung triển khai",IF(K113="","Thiếu bằng chứng",IF(L113&lt;&gt;"Đạt",IF(L113="Không đạt","Cần khắc phục","Chưa kiểm tra"),IF(OR(M113="",NOT(ISNUMBER(N113))),"Chờ xác nhận","Đủ hồ sơ kiểm tra")))))))</x:f>
        <x:v>Chưa đủ bằng chứng</x:v>
      </x:c>
      <x:c r="S113" s="9" t="str"/>
    </x:row>
    <x:row r="114" ht="98" customHeight="1">
      <x:c r="A114" s="8" t="str">
        <x:v>TC-109</x:v>
      </x:c>
      <x:c r="B114" s="8" t="str">
        <x:v>Kiểm tra an ninh</x:v>
      </x:c>
      <x:c r="C114" s="8" t="str">
        <x:v>TCVN 14423:2026
6.18.2.5 • tr.81</x:v>
      </x:c>
      <x:c r="D114" s="8" t="str">
        <x:v>Pentest bên trong
Kiểm thử tài nguyên nội bộ ít nhất hằng năm.</x:v>
      </x:c>
      <x:c r="E114" s="8" t="str">
        <x:v>Kiểm tra thử từ các vùng tin cậy khác nhau và giới hạn đã nêu.</x:v>
      </x:c>
      <x:c r="F114" s="8" t="str">
        <x:v>Báo cáo nội bộ; ROE; retest.</x:v>
      </x:c>
      <x:c r="G114" s="8" t="str">
        <x:v>Đánh giá độc lập và GRC</x:v>
      </x:c>
      <x:c r="H114" s="9" t="str">
        <x:v>DC Cầu Giấy và DR Nam Thăng Long</x:v>
      </x:c>
      <x:c r="I114" s="9" t="str">
        <x:v>Có</x:v>
      </x:c>
      <x:c r="J114" s="9" t="str">
        <x:v>Chưa xác minh</x:v>
      </x:c>
      <x:c r="K114" s="9" t="str"/>
      <x:c r="L114" s="9" t="str">
        <x:v>Chưa kiểm tra</x:v>
      </x:c>
      <x:c r="M114" s="9" t="str"/>
      <x:c r="N114" s="10"/>
      <x:c r="O114" s="9" t="str"/>
      <x:c r="P114" s="9" t="str"/>
      <x:c r="Q114" s="10"/>
      <x:c r="R114" s="8" t="str">
        <x:f>IF(I114="Không áp dụng",IF(AND(S114&lt;&gt;"",M114&lt;&gt;"",ISNUMBER(N114)),"Không áp dụng đã duyệt","Chờ duyệt không áp dụng"),IF(I114&lt;&gt;"Có","Chưa chốt phạm vi",IF(J114="Chưa xác minh","Chưa đủ bằng chứng",IF(J114&lt;&gt;"Đầy đủ","Cần bổ sung triển khai",IF(K114="","Thiếu bằng chứng",IF(L114&lt;&gt;"Đạt",IF(L114="Không đạt","Cần khắc phục","Chưa kiểm tra"),IF(OR(M114="",NOT(ISNUMBER(N114))),"Chờ xác nhận","Đủ hồ sơ kiểm tra")))))))</x:f>
        <x:v>Chưa đủ bằng chứng</x:v>
      </x:c>
      <x:c r="S114" s="9" t="str"/>
    </x:row>
    <x:row r="115" ht="98" customHeight="1">
      <x:c r="A115" s="4" t="str">
        <x:v>TC-110</x:v>
      </x:c>
      <x:c r="B115" s="4" t="str">
        <x:v>An toàn vật lý</x:v>
      </x:c>
      <x:c r="C115" s="4" t="str">
        <x:v>TCVN 14423:2026
A.4.1 • tr.109</x:v>
      </x:c>
      <x:c r="D115" s="4" t="str">
        <x:v>Vị trí phòng máy
Vị trí tránh tầng cao, tầng hầm, nơi chứa nước và vùng dễ cháy/nhiễu mạnh theo điều khoản.</x:v>
      </x:c>
      <x:c r="E115" s="4" t="str">
        <x:v>Quan sát tại chỗ/đối chiếu bản vẽ; không dùng chứng chỉ IDC để thay bằng chứng vị trí.</x:v>
      </x:c>
      <x:c r="F115" s="4" t="str">
        <x:v>Bản vẽ vị trí; biên bản khảo sát; xác nhận IDC.</x:v>
      </x:c>
      <x:c r="G115" s="4" t="str">
        <x:v>IDC và Hạ tầng XOR</x:v>
      </x:c>
      <x:c r="H115" s="9" t="str">
        <x:v>DC Cầu Giấy và DR Nam Thăng Long</x:v>
      </x:c>
      <x:c r="I115" s="9" t="str">
        <x:v>Có</x:v>
      </x:c>
      <x:c r="J115" s="9" t="str">
        <x:v>Chưa xác minh</x:v>
      </x:c>
      <x:c r="K115" s="9" t="str"/>
      <x:c r="L115" s="9" t="str">
        <x:v>Chưa kiểm tra</x:v>
      </x:c>
      <x:c r="M115" s="9" t="str"/>
      <x:c r="N115" s="10"/>
      <x:c r="O115" s="9" t="str"/>
      <x:c r="P115" s="9" t="str"/>
      <x:c r="Q115" s="10"/>
      <x:c r="R115" s="4" t="str">
        <x:f>IF(I115="Không áp dụng",IF(AND(S115&lt;&gt;"",M115&lt;&gt;"",ISNUMBER(N115)),"Không áp dụng đã duyệt","Chờ duyệt không áp dụng"),IF(I115&lt;&gt;"Có","Chưa chốt phạm vi",IF(J115="Chưa xác minh","Chưa đủ bằng chứng",IF(J115&lt;&gt;"Đầy đủ","Cần bổ sung triển khai",IF(K115="","Thiếu bằng chứng",IF(L115&lt;&gt;"Đạt",IF(L115="Không đạt","Cần khắc phục","Chưa kiểm tra"),IF(OR(M115="",NOT(ISNUMBER(N115))),"Chờ xác nhận","Đủ hồ sơ kiểm tra")))))))</x:f>
        <x:v>Chưa đủ bằng chứng</x:v>
      </x:c>
      <x:c r="S115" s="9" t="str"/>
    </x:row>
    <x:row r="116" ht="98" customHeight="1">
      <x:c r="A116" s="8" t="str">
        <x:v>TC-111</x:v>
      </x:c>
      <x:c r="B116" s="8" t="str">
        <x:v>An toàn vật lý</x:v>
      </x:c>
      <x:c r="C116" s="8" t="str">
        <x:v>TCVN 14423:2026
A.4.2 • tr.109</x:v>
      </x:c>
      <x:c r="D116" s="8" t="str">
        <x:v>Ra vào và camera
Cổng điện tử; camera tập trung 24/7, lưu tối thiểu 6 tháng; vành đai và bảo vệ vùng thiết bị quan trọng.</x:v>
      </x:c>
      <x:c r="E116" s="8" t="str">
        <x:v>Thử truy xuất dữ liệu và đối soát một lần ra vào được duyệt.</x:v>
      </x:c>
      <x:c r="F116" s="8" t="str">
        <x:v>Quy chế; access log; mẫu camera đủ mốc; hợp đồng.</x:v>
      </x:c>
      <x:c r="G116" s="8" t="str">
        <x:v>IDC và Hạ tầng XOR</x:v>
      </x:c>
      <x:c r="H116" s="9" t="str">
        <x:v>DC Cầu Giấy và DR Nam Thăng Long</x:v>
      </x:c>
      <x:c r="I116" s="9" t="str">
        <x:v>Có</x:v>
      </x:c>
      <x:c r="J116" s="9" t="str">
        <x:v>Chưa xác minh</x:v>
      </x:c>
      <x:c r="K116" s="9" t="str"/>
      <x:c r="L116" s="9" t="str">
        <x:v>Chưa kiểm tra</x:v>
      </x:c>
      <x:c r="M116" s="9" t="str"/>
      <x:c r="N116" s="10"/>
      <x:c r="O116" s="9" t="str"/>
      <x:c r="P116" s="9" t="str"/>
      <x:c r="Q116" s="10"/>
      <x:c r="R116" s="8" t="str">
        <x:f>IF(I116="Không áp dụng",IF(AND(S116&lt;&gt;"",M116&lt;&gt;"",ISNUMBER(N116)),"Không áp dụng đã duyệt","Chờ duyệt không áp dụng"),IF(I116&lt;&gt;"Có","Chưa chốt phạm vi",IF(J116="Chưa xác minh","Chưa đủ bằng chứng",IF(J116&lt;&gt;"Đầy đủ","Cần bổ sung triển khai",IF(K116="","Thiếu bằng chứng",IF(L116&lt;&gt;"Đạt",IF(L116="Không đạt","Cần khắc phục","Chưa kiểm tra"),IF(OR(M116="",NOT(ISNUMBER(N116))),"Chờ xác nhận","Đủ hồ sơ kiểm tra")))))))</x:f>
        <x:v>Chưa đủ bằng chứng</x:v>
      </x:c>
      <x:c r="S116" s="9" t="str"/>
    </x:row>
    <x:row r="117" ht="98" customHeight="1">
      <x:c r="A117" s="4" t="str">
        <x:v>TC-112</x:v>
      </x:c>
      <x:c r="B117" s="4" t="str">
        <x:v>An toàn vật lý</x:v>
      </x:c>
      <x:c r="C117" s="4" t="str">
        <x:v>TCVN 14423:2026
A.4.3 • tr.109</x:v>
      </x:c>
      <x:c r="D117" s="4" t="str">
        <x:v>Chống trộm phá hoại
Rack cố định, nhãn, cáp đi ngầm có bảo vệ, báo động chống trộm tự động hoặc tương đương.</x:v>
      </x:c>
      <x:c r="E117" s="4" t="str">
        <x:v>Khảo sát rack và thử cảnh báo theo lịch IDC cho phép.</x:v>
      </x:c>
      <x:c r="F117" s="4" t="str">
        <x:v>Ảnh hiện trạng; danh mục rack; biên bản thử báo động.</x:v>
      </x:c>
      <x:c r="G117" s="4" t="str">
        <x:v>IDC và Hạ tầng XOR</x:v>
      </x:c>
      <x:c r="H117" s="9" t="str">
        <x:v>DC Cầu Giấy và DR Nam Thăng Long</x:v>
      </x:c>
      <x:c r="I117" s="9" t="str">
        <x:v>Có</x:v>
      </x:c>
      <x:c r="J117" s="9" t="str">
        <x:v>Chưa xác minh</x:v>
      </x:c>
      <x:c r="K117" s="9" t="str"/>
      <x:c r="L117" s="9" t="str">
        <x:v>Chưa kiểm tra</x:v>
      </x:c>
      <x:c r="M117" s="9" t="str"/>
      <x:c r="N117" s="10"/>
      <x:c r="O117" s="9" t="str"/>
      <x:c r="P117" s="9" t="str"/>
      <x:c r="Q117" s="10"/>
      <x:c r="R117" s="4" t="str">
        <x:f>IF(I117="Không áp dụng",IF(AND(S117&lt;&gt;"",M117&lt;&gt;"",ISNUMBER(N117)),"Không áp dụng đã duyệt","Chờ duyệt không áp dụng"),IF(I117&lt;&gt;"Có","Chưa chốt phạm vi",IF(J117="Chưa xác minh","Chưa đủ bằng chứng",IF(J117&lt;&gt;"Đầy đủ","Cần bổ sung triển khai",IF(K117="","Thiếu bằng chứng",IF(L117&lt;&gt;"Đạt",IF(L117="Không đạt","Cần khắc phục","Chưa kiểm tra"),IF(OR(M117="",NOT(ISNUMBER(N117))),"Chờ xác nhận","Đủ hồ sơ kiểm tra")))))))</x:f>
        <x:v>Chưa đủ bằng chứng</x:v>
      </x:c>
      <x:c r="S117" s="9" t="str"/>
    </x:row>
    <x:row r="118" ht="98" customHeight="1">
      <x:c r="A118" s="8" t="str">
        <x:v>TC-113</x:v>
      </x:c>
      <x:c r="B118" s="8" t="str">
        <x:v>An toàn vật lý</x:v>
      </x:c>
      <x:c r="C118" s="8" t="str">
        <x:v>TCVN 14423:2026
A.4.4 • tr.110</x:v>
      </x:c>
      <x:c r="D118" s="8" t="str">
        <x:v>Chống sét
Chống sét tòa nhà được nghiệm thu/kiểm tra; bảo vệ lan truyền điện và kết nối.</x:v>
      </x:c>
      <x:c r="E118" s="8" t="str">
        <x:v>Đối chiếu phạm vi hồ sơ có bao phủ phòng/rack XOR.</x:v>
      </x:c>
      <x:c r="F118" s="8" t="str">
        <x:v>Nghiệm thu; bản vẽ; đo kiểm; bảo trì.</x:v>
      </x:c>
      <x:c r="G118" s="8" t="str">
        <x:v>IDC và Hạ tầng XOR</x:v>
      </x:c>
      <x:c r="H118" s="9" t="str">
        <x:v>DC Cầu Giấy và DR Nam Thăng Long</x:v>
      </x:c>
      <x:c r="I118" s="9" t="str">
        <x:v>Có</x:v>
      </x:c>
      <x:c r="J118" s="9" t="str">
        <x:v>Chưa xác minh</x:v>
      </x:c>
      <x:c r="K118" s="9" t="str"/>
      <x:c r="L118" s="9" t="str">
        <x:v>Chưa kiểm tra</x:v>
      </x:c>
      <x:c r="M118" s="9" t="str"/>
      <x:c r="N118" s="10"/>
      <x:c r="O118" s="9" t="str"/>
      <x:c r="P118" s="9" t="str"/>
      <x:c r="Q118" s="10"/>
      <x:c r="R118" s="8" t="str">
        <x:f>IF(I118="Không áp dụng",IF(AND(S118&lt;&gt;"",M118&lt;&gt;"",ISNUMBER(N118)),"Không áp dụng đã duyệt","Chờ duyệt không áp dụng"),IF(I118&lt;&gt;"Có","Chưa chốt phạm vi",IF(J118="Chưa xác minh","Chưa đủ bằng chứng",IF(J118&lt;&gt;"Đầy đủ","Cần bổ sung triển khai",IF(K118="","Thiếu bằng chứng",IF(L118&lt;&gt;"Đạt",IF(L118="Không đạt","Cần khắc phục","Chưa kiểm tra"),IF(OR(M118="",NOT(ISNUMBER(N118))),"Chờ xác nhận","Đủ hồ sơ kiểm tra")))))))</x:f>
        <x:v>Chưa đủ bằng chứng</x:v>
      </x:c>
      <x:c r="S118" s="9" t="str"/>
    </x:row>
    <x:row r="119" ht="98" customHeight="1">
      <x:c r="A119" s="4" t="str">
        <x:v>TC-114</x:v>
      </x:c>
      <x:c r="B119" s="4" t="str">
        <x:v>An toàn vật lý</x:v>
      </x:c>
      <x:c r="C119" s="4" t="str">
        <x:v>TCVN 14423:2026
A.4.5 • tr.110</x:v>
      </x:c>
      <x:c r="D119" s="4" t="str">
        <x:v>Phòng cháy
Báo/chữa cháy tự động, tín hiệu cảnh báo, vật liệu chịu lửa và cách ly vùng quan trọng.</x:v>
      </x:c>
      <x:c r="E119" s="4" t="str">
        <x:v>Quan sát và kiểm tra hồ sơ thử theo thẩm quyền IDC.</x:v>
      </x:c>
      <x:c r="F119" s="4" t="str">
        <x:v>Hồ sơ nghiệm thu; bảo trì; sơ đồ; diễn tập.</x:v>
      </x:c>
      <x:c r="G119" s="4" t="str">
        <x:v>IDC và Hạ tầng XOR</x:v>
      </x:c>
      <x:c r="H119" s="9" t="str">
        <x:v>DC Cầu Giấy và DR Nam Thăng Long</x:v>
      </x:c>
      <x:c r="I119" s="9" t="str">
        <x:v>Có</x:v>
      </x:c>
      <x:c r="J119" s="9" t="str">
        <x:v>Chưa xác minh</x:v>
      </x:c>
      <x:c r="K119" s="9" t="str"/>
      <x:c r="L119" s="9" t="str">
        <x:v>Chưa kiểm tra</x:v>
      </x:c>
      <x:c r="M119" s="9" t="str"/>
      <x:c r="N119" s="10"/>
      <x:c r="O119" s="9" t="str"/>
      <x:c r="P119" s="9" t="str"/>
      <x:c r="Q119" s="10"/>
      <x:c r="R119" s="4" t="str">
        <x:f>IF(I119="Không áp dụng",IF(AND(S119&lt;&gt;"",M119&lt;&gt;"",ISNUMBER(N119)),"Không áp dụng đã duyệt","Chờ duyệt không áp dụng"),IF(I119&lt;&gt;"Có","Chưa chốt phạm vi",IF(J119="Chưa xác minh","Chưa đủ bằng chứng",IF(J119&lt;&gt;"Đầy đủ","Cần bổ sung triển khai",IF(K119="","Thiếu bằng chứng",IF(L119&lt;&gt;"Đạt",IF(L119="Không đạt","Cần khắc phục","Chưa kiểm tra"),IF(OR(M119="",NOT(ISNUMBER(N119))),"Chờ xác nhận","Đủ hồ sơ kiểm tra")))))))</x:f>
        <x:v>Chưa đủ bằng chứng</x:v>
      </x:c>
      <x:c r="S119" s="9" t="str"/>
    </x:row>
    <x:row r="120" ht="98" customHeight="1">
      <x:c r="A120" s="8" t="str">
        <x:v>TC-115</x:v>
      </x:c>
      <x:c r="B120" s="8" t="str">
        <x:v>An toàn vật lý</x:v>
      </x:c>
      <x:c r="C120" s="8" t="str">
        <x:v>TCVN 14423:2026
A.4.6 • tr.110</x:v>
      </x:c>
      <x:c r="D120" s="8" t="str">
        <x:v>Chống nước
Bảo vệ thoát nước, trần/cửa và chống tích tụ, thấm nước vào phòng máy.</x:v>
      </x:c>
      <x:c r="E120" s="8" t="str">
        <x:v>Kiểm tra vị trí ống, lối thoát, dấu hiệu thấm và biện pháp ngăn nước.</x:v>
      </x:c>
      <x:c r="F120" s="8" t="str">
        <x:v>Bản vẽ; biên bản khảo sát; log/cảnh báo nếu có.</x:v>
      </x:c>
      <x:c r="G120" s="8" t="str">
        <x:v>IDC và Hạ tầng XOR</x:v>
      </x:c>
      <x:c r="H120" s="9" t="str">
        <x:v>DC Cầu Giấy và DR Nam Thăng Long</x:v>
      </x:c>
      <x:c r="I120" s="9" t="str">
        <x:v>Có</x:v>
      </x:c>
      <x:c r="J120" s="9" t="str">
        <x:v>Chưa xác minh</x:v>
      </x:c>
      <x:c r="K120" s="9" t="str"/>
      <x:c r="L120" s="9" t="str">
        <x:v>Chưa kiểm tra</x:v>
      </x:c>
      <x:c r="M120" s="9" t="str"/>
      <x:c r="N120" s="10"/>
      <x:c r="O120" s="9" t="str"/>
      <x:c r="P120" s="9" t="str"/>
      <x:c r="Q120" s="10"/>
      <x:c r="R120" s="8" t="str">
        <x:f>IF(I120="Không áp dụng",IF(AND(S120&lt;&gt;"",M120&lt;&gt;"",ISNUMBER(N120)),"Không áp dụng đã duyệt","Chờ duyệt không áp dụng"),IF(I120&lt;&gt;"Có","Chưa chốt phạm vi",IF(J120="Chưa xác minh","Chưa đủ bằng chứng",IF(J120&lt;&gt;"Đầy đủ","Cần bổ sung triển khai",IF(K120="","Thiếu bằng chứng",IF(L120&lt;&gt;"Đạt",IF(L120="Không đạt","Cần khắc phục","Chưa kiểm tra"),IF(OR(M120="",NOT(ISNUMBER(N120))),"Chờ xác nhận","Đủ hồ sơ kiểm tra")))))))</x:f>
        <x:v>Chưa đủ bằng chứng</x:v>
      </x:c>
      <x:c r="S120" s="9" t="str"/>
    </x:row>
    <x:row r="121" ht="98" customHeight="1">
      <x:c r="A121" s="4" t="str">
        <x:v>TC-116</x:v>
      </x:c>
      <x:c r="B121" s="4" t="str">
        <x:v>An toàn vật lý</x:v>
      </x:c>
      <x:c r="C121" s="4" t="str">
        <x:v>TCVN 14423:2026
A.4.7 • tr.110</x:v>
      </x:c>
      <x:c r="D121" s="4" t="str">
        <x:v>Chống tĩnh điện
Biện pháp chống tĩnh điện và sàn chống tĩnh điện.</x:v>
      </x:c>
      <x:c r="E121" s="4" t="str">
        <x:v>Quan sát và đối chiếu bằng chứng kiểm tra phù hợp.</x:v>
      </x:c>
      <x:c r="F121" s="4" t="str">
        <x:v>Hồ sơ vật liệu; kiểm tra; quy trình bảo trì.</x:v>
      </x:c>
      <x:c r="G121" s="4" t="str">
        <x:v>IDC và Hạ tầng XOR</x:v>
      </x:c>
      <x:c r="H121" s="9" t="str">
        <x:v>DC Cầu Giấy và DR Nam Thăng Long</x:v>
      </x:c>
      <x:c r="I121" s="9" t="str">
        <x:v>Có</x:v>
      </x:c>
      <x:c r="J121" s="9" t="str">
        <x:v>Chưa xác minh</x:v>
      </x:c>
      <x:c r="K121" s="9" t="str"/>
      <x:c r="L121" s="9" t="str">
        <x:v>Chưa kiểm tra</x:v>
      </x:c>
      <x:c r="M121" s="9" t="str"/>
      <x:c r="N121" s="10"/>
      <x:c r="O121" s="9" t="str"/>
      <x:c r="P121" s="9" t="str"/>
      <x:c r="Q121" s="10"/>
      <x:c r="R121" s="4" t="str">
        <x:f>IF(I121="Không áp dụng",IF(AND(S121&lt;&gt;"",M121&lt;&gt;"",ISNUMBER(N121)),"Không áp dụng đã duyệt","Chờ duyệt không áp dụng"),IF(I121&lt;&gt;"Có","Chưa chốt phạm vi",IF(J121="Chưa xác minh","Chưa đủ bằng chứng",IF(J121&lt;&gt;"Đầy đủ","Cần bổ sung triển khai",IF(K121="","Thiếu bằng chứng",IF(L121&lt;&gt;"Đạt",IF(L121="Không đạt","Cần khắc phục","Chưa kiểm tra"),IF(OR(M121="",NOT(ISNUMBER(N121))),"Chờ xác nhận","Đủ hồ sơ kiểm tra")))))))</x:f>
        <x:v>Chưa đủ bằng chứng</x:v>
      </x:c>
      <x:c r="S121" s="9" t="str"/>
    </x:row>
    <x:row r="122" ht="98" customHeight="1">
      <x:c r="A122" s="8" t="str">
        <x:v>TC-117</x:v>
      </x:c>
      <x:c r="B122" s="8" t="str">
        <x:v>An toàn vật lý</x:v>
      </x:c>
      <x:c r="C122" s="8" t="str">
        <x:v>TCVN 14423:2026
A.4.8 • tr.110</x:v>
      </x:c>
      <x:c r="D122" s="8" t="str">
        <x:v>Nhiệt độ độ ẩm
Điều hòa phòng máy riêng, duy trì ổn định; đo/cảnh báo độ ẩm và hút ẩm.</x:v>
      </x:c>
      <x:c r="E122" s="8" t="str">
        <x:v>Thử cảnh báo an toàn và kiểm tra dữ liệu môi trường theo thời gian.</x:v>
      </x:c>
      <x:c r="F122" s="8" t="str">
        <x:v>Sơ đồ điều hòa; log nhiệt/ẩm; cảnh báo; bảo trì.</x:v>
      </x:c>
      <x:c r="G122" s="8" t="str">
        <x:v>IDC và Hạ tầng XOR</x:v>
      </x:c>
      <x:c r="H122" s="9" t="str">
        <x:v>DC Cầu Giấy và DR Nam Thăng Long</x:v>
      </x:c>
      <x:c r="I122" s="9" t="str">
        <x:v>Có</x:v>
      </x:c>
      <x:c r="J122" s="9" t="str">
        <x:v>Chưa xác minh</x:v>
      </x:c>
      <x:c r="K122" s="9" t="str"/>
      <x:c r="L122" s="9" t="str">
        <x:v>Chưa kiểm tra</x:v>
      </x:c>
      <x:c r="M122" s="9" t="str"/>
      <x:c r="N122" s="10"/>
      <x:c r="O122" s="9" t="str"/>
      <x:c r="P122" s="9" t="str"/>
      <x:c r="Q122" s="10"/>
      <x:c r="R122" s="8" t="str">
        <x:f>IF(I122="Không áp dụng",IF(AND(S122&lt;&gt;"",M122&lt;&gt;"",ISNUMBER(N122)),"Không áp dụng đã duyệt","Chờ duyệt không áp dụng"),IF(I122&lt;&gt;"Có","Chưa chốt phạm vi",IF(J122="Chưa xác minh","Chưa đủ bằng chứng",IF(J122&lt;&gt;"Đầy đủ","Cần bổ sung triển khai",IF(K122="","Thiếu bằng chứng",IF(L122&lt;&gt;"Đạt",IF(L122="Không đạt","Cần khắc phục","Chưa kiểm tra"),IF(OR(M122="",NOT(ISNUMBER(N122))),"Chờ xác nhận","Đủ hồ sơ kiểm tra")))))))</x:f>
        <x:v>Chưa đủ bằng chứng</x:v>
      </x:c>
      <x:c r="S122" s="9" t="str"/>
    </x:row>
    <x:row r="123" ht="98" customHeight="1">
      <x:c r="A123" s="4" t="str">
        <x:v>TC-118</x:v>
      </x:c>
      <x:c r="B123" s="4" t="str">
        <x:v>An toàn vật lý</x:v>
      </x:c>
      <x:c r="C123" s="4" t="str">
        <x:v>TCVN 14423:2026
A.4.9 • tr.110–111</x:v>
      </x:c>
      <x:c r="D123" s="4" t="str">
        <x:v>Nguồn điện
Nguồn ổn định có chống quá tải; hai nguồn từ hai trạm điện khác nhau; UPS liên tục.</x:v>
      </x:c>
      <x:c r="E123" s="4" t="str">
        <x:v>Đối chiếu nguồn thực tế; hai PDU cùng một trạm không tự đáp ứng yêu cầu hai trạm.</x:v>
      </x:c>
      <x:c r="F123" s="4" t="str">
        <x:v>Sơ đồ một sợi; xác nhận nguồn; log UPS; biên bản chuyển nguồn.</x:v>
      </x:c>
      <x:c r="G123" s="4" t="str">
        <x:v>IDC và Hạ tầng XOR</x:v>
      </x:c>
      <x:c r="H123" s="9" t="str">
        <x:v>DC Cầu Giấy và DR Nam Thăng Long</x:v>
      </x:c>
      <x:c r="I123" s="9" t="str">
        <x:v>Có</x:v>
      </x:c>
      <x:c r="J123" s="9" t="str">
        <x:v>Chưa xác minh</x:v>
      </x:c>
      <x:c r="K123" s="9" t="str"/>
      <x:c r="L123" s="9" t="str">
        <x:v>Chưa kiểm tra</x:v>
      </x:c>
      <x:c r="M123" s="9" t="str"/>
      <x:c r="N123" s="10"/>
      <x:c r="O123" s="9" t="str"/>
      <x:c r="P123" s="9" t="str"/>
      <x:c r="Q123" s="10"/>
      <x:c r="R123" s="4" t="str">
        <x:f>IF(I123="Không áp dụng",IF(AND(S123&lt;&gt;"",M123&lt;&gt;"",ISNUMBER(N123)),"Không áp dụng đã duyệt","Chờ duyệt không áp dụng"),IF(I123&lt;&gt;"Có","Chưa chốt phạm vi",IF(J123="Chưa xác minh","Chưa đủ bằng chứng",IF(J123&lt;&gt;"Đầy đủ","Cần bổ sung triển khai",IF(K123="","Thiếu bằng chứng",IF(L123&lt;&gt;"Đạt",IF(L123="Không đạt","Cần khắc phục","Chưa kiểm tra"),IF(OR(M123="",NOT(ISNUMBER(N123))),"Chờ xác nhận","Đủ hồ sơ kiểm tra")))))))</x:f>
        <x:v>Chưa đủ bằng chứng</x:v>
      </x:c>
      <x:c r="S123" s="9" t="str"/>
    </x:row>
    <x:row r="124" ht="98" customHeight="1">
      <x:c r="A124" s="8" t="str">
        <x:v>TC-119</x:v>
      </x:c>
      <x:c r="B124" s="8" t="str">
        <x:v>An toàn vật lý</x:v>
      </x:c>
      <x:c r="C124" s="8" t="str">
        <x:v>TCVN 14423:2026
A.4.10 • tr.111</x:v>
      </x:c>
      <x:c r="D124" s="8" t="str">
        <x:v>Bảo vệ điện từ
Tách điện và tín hiệu, che nguồn nhiễu; tấm chắn điện từ vùng máy chủ quan trọng/thiết bị mạng chính.</x:v>
      </x:c>
      <x:c r="E124" s="8" t="str">
        <x:v>Quan sát vùng quan trọng và đối chiếu phương án che chắn đã thực hiện.</x:v>
      </x:c>
      <x:c r="F124" s="8" t="str">
        <x:v>Bản vẽ; ảnh; hồ sơ vật liệu; kiểm tra của IDC.</x:v>
      </x:c>
      <x:c r="G124" s="8" t="str">
        <x:v>IDC và Hạ tầng XOR</x:v>
      </x:c>
      <x:c r="H124" s="9" t="str">
        <x:v>DC Cầu Giấy và DR Nam Thăng Long</x:v>
      </x:c>
      <x:c r="I124" s="9" t="str">
        <x:v>Có</x:v>
      </x:c>
      <x:c r="J124" s="9" t="str">
        <x:v>Chưa xác minh</x:v>
      </x:c>
      <x:c r="K124" s="9" t="str"/>
      <x:c r="L124" s="9" t="str">
        <x:v>Chưa kiểm tra</x:v>
      </x:c>
      <x:c r="M124" s="9" t="str"/>
      <x:c r="N124" s="10"/>
      <x:c r="O124" s="9" t="str"/>
      <x:c r="P124" s="9" t="str"/>
      <x:c r="Q124" s="10"/>
      <x:c r="R124" s="8" t="str">
        <x:f>IF(I124="Không áp dụng",IF(AND(S124&lt;&gt;"",M124&lt;&gt;"",ISNUMBER(N124)),"Không áp dụng đã duyệt","Chờ duyệt không áp dụng"),IF(I124&lt;&gt;"Có","Chưa chốt phạm vi",IF(J124="Chưa xác minh","Chưa đủ bằng chứng",IF(J124&lt;&gt;"Đầy đủ","Cần bổ sung triển khai",IF(K124="","Thiếu bằng chứng",IF(L124&lt;&gt;"Đạt",IF(L124="Không đạt","Cần khắc phục","Chưa kiểm tra"),IF(OR(M124="",NOT(ISNUMBER(N124))),"Chờ xác nhận","Đủ hồ sơ kiểm tra")))))))</x:f>
        <x:v>Chưa đủ bằng chứng</x:v>
      </x:c>
      <x:c r="S124" s="9" t="str"/>
    </x:row>
  </x:sheetData>
  <x:conditionalFormatting sqref="R6:R124">
    <x:cfRule type="containsText" dxfId="0" priority="1" operator="containsText" text="Đủ hồ sơ kiểm tra"/>
    <x:cfRule type="containsText" dxfId="1" priority="2" operator="containsText" text="Đủ hồ sơ theo khai báo"/>
    <x:cfRule type="containsText" dxfId="2" priority="3" operator="containsText" text="Cần khắc phục"/>
    <x:cfRule type="containsText" dxfId="3" priority="4" operator="containsText" text="Chưa đủ bằng chứng"/>
    <x:cfRule type="containsText" dxfId="4" priority="5" operator="containsText" text="Thiếu bằng chứng"/>
    <x:cfRule type="containsText" dxfId="5" priority="6" operator="containsText" text="Chờ duyệt không áp dụng"/>
    <x:cfRule type="containsText" dxfId="6" priority="7" operator="containsText" text="Không áp dụng đã duyệt"/>
  </x:conditionalFormatting>
  <x:conditionalFormatting sqref="Q6:Q124">
    <x:cfRule type="expression" dxfId="7" priority="8">
      <x:formula>AND(ISNUMBER(Q6),Q6&lt;'Huong dan'!$B$4,R6&lt;&gt;"Đủ hồ sơ kiểm tra",R6&lt;&gt;"Không áp dụng đã duyệt")</x:formula>
    </x:cfRule>
  </x:conditionalFormatting>
  <x:dataValidations count="3">
    <x:dataValidation type="list" sqref="I6:I124">
      <x:formula1>"Có,Không áp dụng,Chưa chốt"</x:formula1>
    </x:dataValidation>
    <x:dataValidation type="list" sqref="J6:J124">
      <x:formula1>"Chưa xác minh,Chưa triển khai,Một phần,Đầy đủ"</x:formula1>
    </x:dataValidation>
    <x:dataValidation type="list" sqref="L6:L124">
      <x:formula1>"Chưa kiểm tra,Đạt,Không đạt"</x:formula1>
    </x:dataValidation>
  </x:dataValidations>
  <x:pageMargins left="0.7" right="0.7" top="0.75" bottom="0.75" header="0.3" footer="0.3"/>
  <x:tableParts count="1">
    <x:tablePart xmlns:r="http://schemas.openxmlformats.org/officeDocument/2006/relationships" r:id="R6bac17dced98475a"/>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3" hidden="0" customWidth="1"/>
    <x:col min="3" max="3" width="29" hidden="0" customWidth="1"/>
    <x:col min="4" max="4" width="53" hidden="0" customWidth="1"/>
    <x:col min="5" max="5" width="46" hidden="0" customWidth="1"/>
    <x:col min="6" max="6" width="40" hidden="0" customWidth="1"/>
    <x:col min="7" max="7" width="24" hidden="0" customWidth="1"/>
    <x:col min="8" max="8" width="31" hidden="0" customWidth="1"/>
    <x:col min="9" max="9" width="18" hidden="0" customWidth="1"/>
    <x:col min="10" max="10" width="22" hidden="0" customWidth="1"/>
    <x:col min="11" max="11" width="36" hidden="0" customWidth="1"/>
    <x:col min="12" max="12" width="22" hidden="0" customWidth="1"/>
    <x:col min="13" max="13" width="23" hidden="0" customWidth="1"/>
    <x:col min="14" max="14" width="18" hidden="0" customWidth="1"/>
    <x:col min="15" max="15" width="42" hidden="0" customWidth="1"/>
    <x:col min="16" max="16" width="22" hidden="0" customWidth="1"/>
    <x:col min="17" max="17" width="18" hidden="0" customWidth="1"/>
    <x:col min="18" max="18" width="30" hidden="0" customWidth="1"/>
    <x:col min="19" max="19" width="40" hidden="0" customWidth="1"/>
  </x:cols>
  <x:sheetData>
    <x:row r="1">
      <x:c r="A1" s="1"/>
      <x:c r="B1" s="1"/>
      <x:c r="C1" s="1"/>
      <x:c r="D1" s="1"/>
      <x:c r="E1" s="1"/>
      <x:c r="F1" s="1"/>
      <x:c r="G1" s="1"/>
      <x:c r="H1" s="1"/>
      <x:c r="I1" s="1"/>
      <x:c r="J1" s="1"/>
      <x:c r="K1" s="1"/>
      <x:c r="L1" s="1"/>
      <x:c r="M1" s="1"/>
      <x:c r="N1" s="1"/>
      <x:c r="O1" s="1"/>
      <x:c r="P1" s="1"/>
      <x:c r="Q1" s="1"/>
      <x:c r="R1" s="1"/>
      <x:c r="S1" s="1"/>
    </x:row>
    <x:row r="2">
      <x:c r="A2" s="2" t="str">
        <x:v>Rà soát đặc thù XOR STACK CLOUD</x:v>
      </x:c>
      <x:c r="B2" s="1"/>
      <x:c r="C2" s="1"/>
      <x:c r="D2" s="1"/>
      <x:c r="E2" s="1"/>
      <x:c r="F2" s="1"/>
      <x:c r="G2" s="1"/>
      <x:c r="H2" s="1"/>
      <x:c r="I2" s="1"/>
      <x:c r="J2" s="1"/>
      <x:c r="K2" s="1"/>
      <x:c r="L2" s="1"/>
      <x:c r="M2" s="1"/>
      <x:c r="N2" s="1"/>
      <x:c r="O2" s="1"/>
      <x:c r="P2" s="1"/>
      <x:c r="Q2" s="1"/>
      <x:c r="R2" s="1"/>
      <x:c r="S2" s="1"/>
    </x:row>
    <x:row r="3">
      <x:c r="A3" s="1" t="str">
        <x:v>Ô vàng để nhập. Phạm vi “cả hai IDC” chỉ hoàn tất khi bằng chứng bao phủ cả DC và DR. Trạng thái do công thức tính, không phải kết luận chứng nhận.</x:v>
      </x:c>
      <x:c r="B3" s="1"/>
      <x:c r="C3" s="1"/>
      <x:c r="D3" s="1"/>
      <x:c r="E3" s="1"/>
      <x:c r="F3" s="1"/>
      <x:c r="G3" s="1"/>
      <x:c r="H3" s="1"/>
      <x:c r="I3" s="1"/>
      <x:c r="J3" s="1"/>
      <x:c r="K3" s="1"/>
      <x:c r="L3" s="1"/>
      <x:c r="M3" s="1"/>
      <x:c r="N3" s="1"/>
      <x:c r="O3" s="1"/>
      <x:c r="P3" s="1"/>
      <x:c r="Q3" s="1"/>
      <x:c r="R3" s="1"/>
      <x:c r="S3" s="1"/>
    </x:row>
    <x:row r="4">
      <x:c r="A4" s="1"/>
      <x:c r="B4" s="1"/>
      <x:c r="C4" s="1"/>
      <x:c r="D4" s="1"/>
      <x:c r="E4" s="1"/>
      <x:c r="F4" s="1"/>
      <x:c r="G4" s="1"/>
      <x:c r="H4" s="1"/>
      <x:c r="I4" s="1"/>
      <x:c r="J4" s="1"/>
      <x:c r="K4" s="1"/>
      <x:c r="L4" s="1"/>
      <x:c r="M4" s="1"/>
      <x:c r="N4" s="1"/>
      <x:c r="O4" s="1"/>
      <x:c r="P4" s="1"/>
      <x:c r="Q4" s="1"/>
      <x:c r="R4" s="1"/>
      <x:c r="S4" s="1"/>
    </x:row>
    <x:row r="5" ht="40" customHeight="1">
      <x:c r="A5" s="7" t="str">
        <x:v>Mã</x:v>
      </x:c>
      <x:c r="B5" s="7" t="str">
        <x:v>Nhóm</x:v>
      </x:c>
      <x:c r="C5" s="7" t="str">
        <x:v>Điều khoản và trang</x:v>
      </x:c>
      <x:c r="D5" s="7" t="str">
        <x:v>Nội dung cần rà soát</x:v>
      </x:c>
      <x:c r="E5" s="7" t="str">
        <x:v>Cách kiểm tra</x:v>
      </x:c>
      <x:c r="F5" s="7" t="str">
        <x:v>Bằng chứng cần có</x:v>
      </x:c>
      <x:c r="G5" s="7" t="str">
        <x:v>Đầu mối đề xuất</x:v>
      </x:c>
      <x:c r="H5" s="7" t="str">
        <x:v>Phạm vi thực tế</x:v>
      </x:c>
      <x:c r="I5" s="7" t="str">
        <x:v>Áp dụng</x:v>
      </x:c>
      <x:c r="J5" s="7" t="str">
        <x:v>Triển khai</x:v>
      </x:c>
      <x:c r="K5" s="7" t="str">
        <x:v>Mã hoặc đường dẫn bằng chứng</x:v>
      </x:c>
      <x:c r="L5" s="7" t="str">
        <x:v>Kết quả kiểm tra</x:v>
      </x:c>
      <x:c r="M5" s="7" t="str">
        <x:v>Người kiểm tra</x:v>
      </x:c>
      <x:c r="N5" s="7" t="str">
        <x:v>Ngày kiểm tra</x:v>
      </x:c>
      <x:c r="O5" s="7" t="str">
        <x:v>Thiếu sót và hành động</x:v>
      </x:c>
      <x:c r="P5" s="7" t="str">
        <x:v>Người xử lý</x:v>
      </x:c>
      <x:c r="Q5" s="7" t="str">
        <x:v>Hạn xử lý</x:v>
      </x:c>
      <x:c r="R5" s="7" t="str">
        <x:v>Trạng thái tổng hợp</x:v>
      </x:c>
      <x:c r="S5" s="7" t="str">
        <x:v>Căn cứ và phê duyệt không áp dụng</x:v>
      </x:c>
    </x:row>
    <x:row r="6" ht="98" customHeight="1">
      <x:c r="A6" s="8" t="str">
        <x:v>CL-01</x:v>
      </x:c>
      <x:c r="B6" s="8" t="str">
        <x:v>Cloud và OpenStack</x:v>
      </x:c>
      <x:c r="C6" s="8" t="str">
        <x:v>Thiết kế XOR hoặc dự thảo được ghi riêng
Thiết kế XOR; TCVN 6.3, 6.16</x:v>
      </x:c>
      <x:c r="D6" s="8" t="str">
        <x:v>Bản dựng XOR
Gắn phiên bản XOR, commit, OpenStack upstream và danh mục khác biệt; không suy ra tính năng từ tên OpenStack.</x:v>
      </x:c>
      <x:c r="E6" s="8" t="str">
        <x:v>Đối chiếu image đang chạy với release manifest và SBOM.</x:v>
      </x:c>
      <x:c r="F6" s="8" t="str">
        <x:v>Manifest, digest, SBOM, bản vá, ma trận hỗ trợ.</x:v>
      </x:c>
      <x:c r="G6" s="8" t="str">
        <x:v>DevSecOps</x:v>
      </x:c>
      <x:c r="H6" s="9" t="str">
        <x:v>DC Cầu Giấy và DR Nam Thăng Long</x:v>
      </x:c>
      <x:c r="I6" s="9" t="str">
        <x:v>Có</x:v>
      </x:c>
      <x:c r="J6" s="9" t="str">
        <x:v>Chưa xác minh</x:v>
      </x:c>
      <x:c r="K6" s="9" t="str"/>
      <x:c r="L6" s="9" t="str">
        <x:v>Chưa kiểm tra</x:v>
      </x:c>
      <x:c r="M6" s="9" t="str"/>
      <x:c r="N6" s="10"/>
      <x:c r="O6" s="9" t="str"/>
      <x:c r="P6" s="9" t="str"/>
      <x:c r="Q6" s="10"/>
      <x:c r="R6" s="8" t="str">
        <x:f>IF(I6="Không áp dụng",IF(AND(S6&lt;&gt;"",M6&lt;&gt;"",ISNUMBER(N6)),"Không áp dụng đã duyệt","Chờ duyệt không áp dụng"),IF(I6&lt;&gt;"Có","Chưa chốt phạm vi",IF(J6="Chưa xác minh","Chưa đủ bằng chứng",IF(J6&lt;&gt;"Đầy đủ","Cần bổ sung triển khai",IF(K6="","Thiếu bằng chứng",IF(L6&lt;&gt;"Đạt",IF(L6="Không đạt","Cần khắc phục","Chưa kiểm tra"),IF(OR(M6="",NOT(ISNUMBER(N6))),"Chờ xác nhận","Đủ hồ sơ kiểm tra")))))))</x:f>
        <x:v>Chưa đủ bằng chứng</x:v>
      </x:c>
      <x:c r="S6" s="9" t="str"/>
    </x:row>
    <x:row r="7" ht="98" customHeight="1">
      <x:c r="A7" s="4" t="str">
        <x:v>CL-02</x:v>
      </x:c>
      <x:c r="B7" s="4" t="str">
        <x:v>Cloud và OpenStack</x:v>
      </x:c>
      <x:c r="C7" s="4" t="str">
        <x:v>Thiết kế XOR hoặc dự thảo được ghi riêng
Thiết kế XOR; TCVN 6.12</x:v>
      </x:c>
      <x:c r="D7" s="4" t="str">
        <x:v>Quorum mỗi site
Controller/DB/queue có quorum trong từng site; thiết kế và thử độc lập DC/DR; không mặc định kéo cụm qua hai site.</x:v>
      </x:c>
      <x:c r="E7" s="4" t="str">
        <x:v>Thử mất node và mất kênh liên site theo kế hoạch.</x:v>
      </x:c>
      <x:c r="F7" s="4" t="str">
        <x:v>Cluster config, log failover, số đo gián đoạn.</x:v>
      </x:c>
      <x:c r="G7" s="4" t="str">
        <x:v>Platform</x:v>
      </x:c>
      <x:c r="H7" s="9" t="str">
        <x:v>DC Cầu Giấy và DR Nam Thăng Long</x:v>
      </x:c>
      <x:c r="I7" s="9" t="str">
        <x:v>Có</x:v>
      </x:c>
      <x:c r="J7" s="9" t="str">
        <x:v>Chưa xác minh</x:v>
      </x:c>
      <x:c r="K7" s="9" t="str"/>
      <x:c r="L7" s="9" t="str">
        <x:v>Chưa kiểm tra</x:v>
      </x:c>
      <x:c r="M7" s="9" t="str"/>
      <x:c r="N7" s="10"/>
      <x:c r="O7" s="9" t="str"/>
      <x:c r="P7" s="9" t="str"/>
      <x:c r="Q7" s="10"/>
      <x:c r="R7" s="4" t="str">
        <x:f>IF(I7="Không áp dụng",IF(AND(S7&lt;&gt;"",M7&lt;&gt;"",ISNUMBER(N7)),"Không áp dụng đã duyệt","Chờ duyệt không áp dụng"),IF(I7&lt;&gt;"Có","Chưa chốt phạm vi",IF(J7="Chưa xác minh","Chưa đủ bằng chứng",IF(J7&lt;&gt;"Đầy đủ","Cần bổ sung triển khai",IF(K7="","Thiếu bằng chứng",IF(L7&lt;&gt;"Đạt",IF(L7="Không đạt","Cần khắc phục","Chưa kiểm tra"),IF(OR(M7="",NOT(ISNUMBER(N7))),"Chờ xác nhận","Đủ hồ sơ kiểm tra")))))))</x:f>
        <x:v>Chưa đủ bằng chứng</x:v>
      </x:c>
      <x:c r="S7" s="9" t="str"/>
    </x:row>
    <x:row r="8" ht="98" customHeight="1">
      <x:c r="A8" s="8" t="str">
        <x:v>CL-03</x:v>
      </x:c>
      <x:c r="B8" s="8" t="str">
        <x:v>Cloud và OpenStack</x:v>
      </x:c>
      <x:c r="C8" s="8" t="str">
        <x:v>Thiết kế XOR hoặc dự thảo được ghi riêng
Thiết kế XOR; TCVN 6.12</x:v>
      </x:c>
      <x:c r="D8" s="8" t="str">
        <x:v>Cách ly mạng tenant
Project, SDN, anti-spoofing, SG và routing giới hạn theo tenant; chặn tenant tới quản trị/underlay/storage backend.</x:v>
      </x:c>
      <x:c r="E8" s="8" t="str">
        <x:v>Thử A truy cập B, giả mạo địa chỉ và endpoint nội bộ trên tài nguyên thử.</x:v>
      </x:c>
      <x:c r="F8" s="8" t="str">
        <x:v>SG/route/port security, log thử.</x:v>
      </x:c>
      <x:c r="G8" s="8" t="str">
        <x:v>Network</x:v>
      </x:c>
      <x:c r="H8" s="9" t="str">
        <x:v>DC Cầu Giấy và DR Nam Thăng Long</x:v>
      </x:c>
      <x:c r="I8" s="9" t="str">
        <x:v>Có</x:v>
      </x:c>
      <x:c r="J8" s="9" t="str">
        <x:v>Chưa xác minh</x:v>
      </x:c>
      <x:c r="K8" s="9" t="str"/>
      <x:c r="L8" s="9" t="str">
        <x:v>Chưa kiểm tra</x:v>
      </x:c>
      <x:c r="M8" s="9" t="str"/>
      <x:c r="N8" s="10"/>
      <x:c r="O8" s="9" t="str"/>
      <x:c r="P8" s="9" t="str"/>
      <x:c r="Q8" s="10"/>
      <x:c r="R8" s="8" t="str">
        <x:f>IF(I8="Không áp dụng",IF(AND(S8&lt;&gt;"",M8&lt;&gt;"",ISNUMBER(N8)),"Không áp dụng đã duyệt","Chờ duyệt không áp dụng"),IF(I8&lt;&gt;"Có","Chưa chốt phạm vi",IF(J8="Chưa xác minh","Chưa đủ bằng chứng",IF(J8&lt;&gt;"Đầy đủ","Cần bổ sung triển khai",IF(K8="","Thiếu bằng chứng",IF(L8&lt;&gt;"Đạt",IF(L8="Không đạt","Cần khắc phục","Chưa kiểm tra"),IF(OR(M8="",NOT(ISNUMBER(N8))),"Chờ xác nhận","Đủ hồ sơ kiểm tra")))))))</x:f>
        <x:v>Chưa đủ bằng chứng</x:v>
      </x:c>
      <x:c r="S8" s="9" t="str"/>
    </x:row>
    <x:row r="9" ht="98" customHeight="1">
      <x:c r="A9" s="4" t="str">
        <x:v>CL-04</x:v>
      </x:c>
      <x:c r="B9" s="4" t="str">
        <x:v>Cloud và OpenStack</x:v>
      </x:c>
      <x:c r="C9" s="4" t="str">
        <x:v>Thiết kế XOR hoặc dự thảo được ghi riêng
Thiết kế XOR; TCVN 6.6, 6.12</x:v>
      </x:c>
      <x:c r="D9" s="4" t="str">
        <x:v>Metadata và console
Bảo vệ metadata, console, token và URL console theo project; token có hạn; quản lý endpoint proxy.</x:v>
      </x:c>
      <x:c r="E9" s="4" t="str">
        <x:v>Thử token sai/hết hạn và truy cập console/metadata của tenant khác.</x:v>
      </x:c>
      <x:c r="F9" s="4" t="str">
        <x:v>Cấu hình, test IDOR, log API.</x:v>
      </x:c>
      <x:c r="G9" s="4" t="str">
        <x:v>Platform</x:v>
      </x:c>
      <x:c r="H9" s="9" t="str">
        <x:v>DC Cầu Giấy và DR Nam Thăng Long</x:v>
      </x:c>
      <x:c r="I9" s="9" t="str">
        <x:v>Có</x:v>
      </x:c>
      <x:c r="J9" s="9" t="str">
        <x:v>Chưa xác minh</x:v>
      </x:c>
      <x:c r="K9" s="9" t="str"/>
      <x:c r="L9" s="9" t="str">
        <x:v>Chưa kiểm tra</x:v>
      </x:c>
      <x:c r="M9" s="9" t="str"/>
      <x:c r="N9" s="10"/>
      <x:c r="O9" s="9" t="str"/>
      <x:c r="P9" s="9" t="str"/>
      <x:c r="Q9" s="10"/>
      <x:c r="R9" s="4" t="str">
        <x:f>IF(I9="Không áp dụng",IF(AND(S9&lt;&gt;"",M9&lt;&gt;"",ISNUMBER(N9)),"Không áp dụng đã duyệt","Chờ duyệt không áp dụng"),IF(I9&lt;&gt;"Có","Chưa chốt phạm vi",IF(J9="Chưa xác minh","Chưa đủ bằng chứng",IF(J9&lt;&gt;"Đầy đủ","Cần bổ sung triển khai",IF(K9="","Thiếu bằng chứng",IF(L9&lt;&gt;"Đạt",IF(L9="Không đạt","Cần khắc phục","Chưa kiểm tra"),IF(OR(M9="",NOT(ISNUMBER(N9))),"Chờ xác nhận","Đủ hồ sơ kiểm tra")))))))</x:f>
        <x:v>Chưa đủ bằng chứng</x:v>
      </x:c>
      <x:c r="S9" s="9" t="str"/>
    </x:row>
    <x:row r="10" ht="98" customHeight="1">
      <x:c r="A10" s="8" t="str">
        <x:v>CL-05</x:v>
      </x:c>
      <x:c r="B10" s="8" t="str">
        <x:v>Cloud và OpenStack</x:v>
      </x:c>
      <x:c r="C10" s="8" t="str">
        <x:v>Thiết kế XOR hoặc dự thảo được ghi riêng
Thiết kế XOR; TCVN 6.4</x:v>
      </x:c>
      <x:c r="D10" s="8" t="str">
        <x:v>Cách ly volume và object
Kiểm tra attach/detach, snapshot, restore, image import, object ACL và tái cấp phát không lộ dữ liệu.</x:v>
      </x:c>
      <x:c r="E10" s="8" t="str">
        <x:v>Thử chéo tenant và dữ liệu dư trên tài nguyên thử đã thu hồi.</x:v>
      </x:c>
      <x:c r="F10" s="8" t="str">
        <x:v>RBAC, backend ACL, biên bản sanitize.</x:v>
      </x:c>
      <x:c r="G10" s="8" t="str">
        <x:v>Storage</x:v>
      </x:c>
      <x:c r="H10" s="9" t="str">
        <x:v>DC Cầu Giấy và DR Nam Thăng Long</x:v>
      </x:c>
      <x:c r="I10" s="9" t="str">
        <x:v>Có</x:v>
      </x:c>
      <x:c r="J10" s="9" t="str">
        <x:v>Chưa xác minh</x:v>
      </x:c>
      <x:c r="K10" s="9" t="str"/>
      <x:c r="L10" s="9" t="str">
        <x:v>Chưa kiểm tra</x:v>
      </x:c>
      <x:c r="M10" s="9" t="str"/>
      <x:c r="N10" s="10"/>
      <x:c r="O10" s="9" t="str"/>
      <x:c r="P10" s="9" t="str"/>
      <x:c r="Q10" s="10"/>
      <x:c r="R10" s="8" t="str">
        <x:f>IF(I10="Không áp dụng",IF(AND(S10&lt;&gt;"",M10&lt;&gt;"",ISNUMBER(N10)),"Không áp dụng đã duyệt","Chờ duyệt không áp dụng"),IF(I10&lt;&gt;"Có","Chưa chốt phạm vi",IF(J10="Chưa xác minh","Chưa đủ bằng chứng",IF(J10&lt;&gt;"Đầy đủ","Cần bổ sung triển khai",IF(K10="","Thiếu bằng chứng",IF(L10&lt;&gt;"Đạt",IF(L10="Không đạt","Cần khắc phục","Chưa kiểm tra"),IF(OR(M10="",NOT(ISNUMBER(N10))),"Chờ xác nhận","Đủ hồ sơ kiểm tra")))))))</x:f>
        <x:v>Chưa đủ bằng chứng</x:v>
      </x:c>
      <x:c r="S10" s="9" t="str"/>
    </x:row>
    <x:row r="11" ht="98" customHeight="1">
      <x:c r="A11" s="4" t="str">
        <x:v>CL-06</x:v>
      </x:c>
      <x:c r="B11" s="4" t="str">
        <x:v>Cloud và OpenStack</x:v>
      </x:c>
      <x:c r="C11" s="4" t="str">
        <x:v>Thiết kế XOR hoặc dự thảo được ghi riêng
Thiết kế XOR; nếu cung cấp dịch vụ</x:v>
      </x:c>
      <x:c r="D11" s="4" t="str">
        <x:v>Kubernetes quản lý
RBAC, NetworkPolicy, hạn chế đặc quyền pod, bảo vệ secrets và audit; chặn workload tới API nội bộ không được phép.</x:v>
      </x:c>
      <x:c r="E11" s="4" t="str">
        <x:v>Thử quyền cluster, pod đặc quyền và lưu lượng chéo namespace/tenant.</x:v>
      </x:c>
      <x:c r="F11" s="4" t="str">
        <x:v>Version, policy, audit, admission logs.</x:v>
      </x:c>
      <x:c r="G11" s="4" t="str">
        <x:v>Kubernetes</x:v>
      </x:c>
      <x:c r="H11" s="9" t="str">
        <x:v>DC Cầu Giấy và DR Nam Thăng Long</x:v>
      </x:c>
      <x:c r="I11" s="9" t="str">
        <x:v>Có</x:v>
      </x:c>
      <x:c r="J11" s="9" t="str">
        <x:v>Chưa xác minh</x:v>
      </x:c>
      <x:c r="K11" s="9" t="str"/>
      <x:c r="L11" s="9" t="str">
        <x:v>Chưa kiểm tra</x:v>
      </x:c>
      <x:c r="M11" s="9" t="str"/>
      <x:c r="N11" s="10"/>
      <x:c r="O11" s="9" t="str"/>
      <x:c r="P11" s="9" t="str"/>
      <x:c r="Q11" s="10"/>
      <x:c r="R11" s="4" t="str">
        <x:f>IF(I11="Không áp dụng",IF(AND(S11&lt;&gt;"",M11&lt;&gt;"",ISNUMBER(N11)),"Không áp dụng đã duyệt","Chờ duyệt không áp dụng"),IF(I11&lt;&gt;"Có","Chưa chốt phạm vi",IF(J11="Chưa xác minh","Chưa đủ bằng chứng",IF(J11&lt;&gt;"Đầy đủ","Cần bổ sung triển khai",IF(K11="","Thiếu bằng chứng",IF(L11&lt;&gt;"Đạt",IF(L11="Không đạt","Cần khắc phục","Chưa kiểm tra"),IF(OR(M11="",NOT(ISNUMBER(N11))),"Chờ xác nhận","Đủ hồ sơ kiểm tra")))))))</x:f>
        <x:v>Chưa đủ bằng chứng</x:v>
      </x:c>
      <x:c r="S11" s="9" t="str"/>
    </x:row>
    <x:row r="12" ht="98" customHeight="1">
      <x:c r="A12" s="8" t="str">
        <x:v>CL-07</x:v>
      </x:c>
      <x:c r="B12" s="8" t="str">
        <x:v>Cloud và OpenStack</x:v>
      </x:c>
      <x:c r="C12" s="8" t="str">
        <x:v>Thiết kế XOR hoặc dự thảo được ghi riêng
Thiết kế XOR; TCVN 6.16</x:v>
      </x:c>
      <x:c r="D12" s="8" t="str">
        <x:v>CI CD và nguồn cung
Ký artifact, kiểm tra digest, quyền runner hẹp, secret ngắn hạn, tách dev/test/prod và có rollback.</x:v>
      </x:c>
      <x:c r="E12" s="8" t="str">
        <x:v>Thử phát hành image sai chữ ký/digest hoặc thiếu gate.</x:v>
      </x:c>
      <x:c r="F12" s="8" t="str">
        <x:v>Pipeline, kết quả scan, approval, log rollback.</x:v>
      </x:c>
      <x:c r="G12" s="8" t="str">
        <x:v>DevSecOps</x:v>
      </x:c>
      <x:c r="H12" s="9" t="str">
        <x:v>DC Cầu Giấy và DR Nam Thăng Long</x:v>
      </x:c>
      <x:c r="I12" s="9" t="str">
        <x:v>Có</x:v>
      </x:c>
      <x:c r="J12" s="9" t="str">
        <x:v>Chưa xác minh</x:v>
      </x:c>
      <x:c r="K12" s="9" t="str"/>
      <x:c r="L12" s="9" t="str">
        <x:v>Chưa kiểm tra</x:v>
      </x:c>
      <x:c r="M12" s="9" t="str"/>
      <x:c r="N12" s="10"/>
      <x:c r="O12" s="9" t="str"/>
      <x:c r="P12" s="9" t="str"/>
      <x:c r="Q12" s="10"/>
      <x:c r="R12" s="8" t="str">
        <x:f>IF(I12="Không áp dụng",IF(AND(S12&lt;&gt;"",M12&lt;&gt;"",ISNUMBER(N12)),"Không áp dụng đã duyệt","Chờ duyệt không áp dụng"),IF(I12&lt;&gt;"Có","Chưa chốt phạm vi",IF(J12="Chưa xác minh","Chưa đủ bằng chứng",IF(J12&lt;&gt;"Đầy đủ","Cần bổ sung triển khai",IF(K12="","Thiếu bằng chứng",IF(L12&lt;&gt;"Đạt",IF(L12="Không đạt","Cần khắc phục","Chưa kiểm tra"),IF(OR(M12="",NOT(ISNUMBER(N12))),"Chờ xác nhận","Đủ hồ sơ kiểm tra")))))))</x:f>
        <x:v>Chưa đủ bằng chứng</x:v>
      </x:c>
      <x:c r="S12" s="9" t="str"/>
    </x:row>
    <x:row r="13" ht="98" customHeight="1">
      <x:c r="A13" s="4" t="str">
        <x:v>CL-08</x:v>
      </x:c>
      <x:c r="B13" s="4" t="str">
        <x:v>Cloud và OpenStack</x:v>
      </x:c>
      <x:c r="C13" s="4" t="str">
        <x:v>Thiết kế XOR hoặc dự thảo được ghi riêng
Thiết kế XOR và BIA</x:v>
      </x:c>
      <x:c r="D13" s="4" t="str">
        <x:v>Sự cố đồng thời hai IDC
Đánh giá điện, cáp, ISP, nhân sự và rủi ro khu vực chung; bản sao ngoài miền lỗi chung nếu cần theo BIA.</x:v>
      </x:c>
      <x:c r="E13" s="4" t="str">
        <x:v>Đối chiếu tuyến/nguồn thực tế và giả lập mất cả hai site trên bàn.</x:v>
      </x:c>
      <x:c r="F13" s="4" t="str">
        <x:v>BIA, sơ đồ điện/cáp, quyết định xử lý rủi ro.</x:v>
      </x:c>
      <x:c r="G13" s="4" t="str">
        <x:v>Hạ tầng</x:v>
      </x:c>
      <x:c r="H13" s="9" t="str">
        <x:v>DC Cầu Giấy và DR Nam Thăng Long</x:v>
      </x:c>
      <x:c r="I13" s="9" t="str">
        <x:v>Có</x:v>
      </x:c>
      <x:c r="J13" s="9" t="str">
        <x:v>Chưa xác minh</x:v>
      </x:c>
      <x:c r="K13" s="9" t="str"/>
      <x:c r="L13" s="9" t="str">
        <x:v>Chưa kiểm tra</x:v>
      </x:c>
      <x:c r="M13" s="9" t="str"/>
      <x:c r="N13" s="10"/>
      <x:c r="O13" s="9" t="str"/>
      <x:c r="P13" s="9" t="str"/>
      <x:c r="Q13" s="10"/>
      <x:c r="R13" s="4" t="str">
        <x:f>IF(I13="Không áp dụng",IF(AND(S13&lt;&gt;"",M13&lt;&gt;"",ISNUMBER(N13)),"Không áp dụng đã duyệt","Chờ duyệt không áp dụng"),IF(I13&lt;&gt;"Có","Chưa chốt phạm vi",IF(J13="Chưa xác minh","Chưa đủ bằng chứng",IF(J13&lt;&gt;"Đầy đủ","Cần bổ sung triển khai",IF(K13="","Thiếu bằng chứng",IF(L13&lt;&gt;"Đạt",IF(L13="Không đạt","Cần khắc phục","Chưa kiểm tra"),IF(OR(M13="",NOT(ISNUMBER(N13))),"Chờ xác nhận","Đủ hồ sơ kiểm tra")))))))</x:f>
        <x:v>Chưa đủ bằng chứng</x:v>
      </x:c>
      <x:c r="S13" s="9" t="str"/>
    </x:row>
    <x:row r="14" ht="98" customHeight="1">
      <x:c r="A14" s="8" t="str">
        <x:v>CL-09</x:v>
      </x:c>
      <x:c r="B14" s="8" t="str">
        <x:v>Cloud và OpenStack</x:v>
      </x:c>
      <x:c r="C14" s="8" t="str">
        <x:v>Thiết kế XOR hoặc dự thảo được ghi riêng
Dự thảo 5.1 tr.84–87</x:v>
      </x:c>
      <x:c r="D14" s="8" t="str">
        <x:v>Tuyến áp dụng Cloud
Xác nhận có áp dụng tham khảo; mô hình MH, mức và hạng phần mềm tách nhau; giả định MH3/Mức 4/Hạng B chưa phải kết quả đánh giá.</x:v>
      </x:c>
      <x:c r="E14" s="8" t="str">
        <x:v>Chốt đối tượng phục vụ, cấp cao nhất và phạm vi tự nguyện.</x:v>
      </x:c>
      <x:c r="F14" s="8" t="str">
        <x:v>Phiếu phạm vi, danh mục tenant, quyết định áp dụng tham khảo.</x:v>
      </x:c>
      <x:c r="G14" s="8" t="str">
        <x:v>GRC</x:v>
      </x:c>
      <x:c r="H14" s="9" t="str">
        <x:v>DC Cầu Giấy và DR Nam Thăng Long</x:v>
      </x:c>
      <x:c r="I14" s="9" t="str">
        <x:v>Chưa chốt</x:v>
      </x:c>
      <x:c r="J14" s="9" t="str">
        <x:v>Chưa xác minh</x:v>
      </x:c>
      <x:c r="K14" s="9" t="str"/>
      <x:c r="L14" s="9" t="str">
        <x:v>Chưa kiểm tra</x:v>
      </x:c>
      <x:c r="M14" s="9" t="str"/>
      <x:c r="N14" s="10"/>
      <x:c r="O14" s="9" t="str"/>
      <x:c r="P14" s="9" t="str"/>
      <x:c r="Q14" s="10"/>
      <x:c r="R14" s="8" t="str">
        <x:f>IF(I14="Không áp dụng",IF(AND(S14&lt;&gt;"",M14&lt;&gt;"",ISNUMBER(N14)),"Không áp dụng đã duyệt","Chờ duyệt không áp dụng"),IF(I14&lt;&gt;"Có","Chưa chốt phạm vi",IF(J14="Chưa xác minh","Chưa đủ bằng chứng",IF(J14&lt;&gt;"Đầy đủ","Cần bổ sung triển khai",IF(K14="","Thiếu bằng chứng",IF(L14&lt;&gt;"Đạt",IF(L14="Không đạt","Cần khắc phục","Chưa kiểm tra"),IF(OR(M14="",NOT(ISNUMBER(N14))),"Chờ xác nhận","Đủ hồ sơ kiểm tra")))))))</x:f>
        <x:v>Chưa chốt phạm vi</x:v>
      </x:c>
      <x:c r="S14" s="9" t="str"/>
    </x:row>
    <x:row r="15" ht="98" customHeight="1">
      <x:c r="A15" s="4" t="str">
        <x:v>CL-10</x:v>
      </x:c>
      <x:c r="B15" s="4" t="str">
        <x:v>Cloud và OpenStack</x:v>
      </x:c>
      <x:c r="C15" s="4" t="str">
        <x:v>Thiết kế XOR hoặc dự thảo được ghi riêng
Dự thảo 5.3.6 tr.92</x:v>
      </x:c>
      <x:c r="D15" s="4" t="str">
        <x:v>Dịch vụ nền độc lập
Rà dự phòng máy chủ, mạng, lưu trữ, điện, DNS, IAM, DHCP và hàng đợi; DNS nội bộ không phụ thuộc DNS công cộng.</x:v>
      </x:c>
      <x:c r="E15" s="4" t="str">
        <x:v>Dừng từng dịch vụ nền trong môi trường thử và đối chiếu hành vi.</x:v>
      </x:c>
      <x:c r="F15" s="4" t="str">
        <x:v>Dependency map, cấu hình dự phòng, kết quả thử.</x:v>
      </x:c>
      <x:c r="G15" s="4" t="str">
        <x:v>Platform</x:v>
      </x:c>
      <x:c r="H15" s="9" t="str">
        <x:v>DC Cầu Giấy và DR Nam Thăng Long</x:v>
      </x:c>
      <x:c r="I15" s="9" t="str">
        <x:v>Chưa chốt</x:v>
      </x:c>
      <x:c r="J15" s="9" t="str">
        <x:v>Chưa xác minh</x:v>
      </x:c>
      <x:c r="K15" s="9" t="str"/>
      <x:c r="L15" s="9" t="str">
        <x:v>Chưa kiểm tra</x:v>
      </x:c>
      <x:c r="M15" s="9" t="str"/>
      <x:c r="N15" s="10"/>
      <x:c r="O15" s="9" t="str"/>
      <x:c r="P15" s="9" t="str"/>
      <x:c r="Q15" s="10"/>
      <x:c r="R15" s="4" t="str">
        <x:f>IF(I15="Không áp dụng",IF(AND(S15&lt;&gt;"",M15&lt;&gt;"",ISNUMBER(N15)),"Không áp dụng đã duyệt","Chờ duyệt không áp dụng"),IF(I15&lt;&gt;"Có","Chưa chốt phạm vi",IF(J15="Chưa xác minh","Chưa đủ bằng chứng",IF(J15&lt;&gt;"Đầy đủ","Cần bổ sung triển khai",IF(K15="","Thiếu bằng chứng",IF(L15&lt;&gt;"Đạt",IF(L15="Không đạt","Cần khắc phục","Chưa kiểm tra"),IF(OR(M15="",NOT(ISNUMBER(N15))),"Chờ xác nhận","Đủ hồ sơ kiểm tra")))))))</x:f>
        <x:v>Chưa chốt phạm vi</x:v>
      </x:c>
      <x:c r="S15" s="9" t="str"/>
    </x:row>
    <x:row r="16" ht="98" customHeight="1">
      <x:c r="A16" s="8" t="str">
        <x:v>CL-11</x:v>
      </x:c>
      <x:c r="B16" s="8" t="str">
        <x:v>Cloud và OpenStack</x:v>
      </x:c>
      <x:c r="C16" s="8" t="str">
        <x:v>Thiết kế XOR hoặc dự thảo được ghi riêng
Dự thảo 5.3.9–5.3.10 tr.92</x:v>
      </x:c>
      <x:c r="D16" s="8" t="str">
        <x:v>Khởi động nguội
Đồ thị phụ thuộc không vòng; bí mật khẩn cấp ngoài nền tảng; diễn tập khởi động từ trạng thái dừng.</x:v>
      </x:c>
      <x:c r="E16" s="8" t="str">
        <x:v>Khôi phục mạng, thời gian, IAM/khóa, lưu trữ, DB/queue, API và workload theo runbook.</x:v>
      </x:c>
      <x:c r="F16" s="8" t="str">
        <x:v>Runbook, biên bản cold start, nhật ký truy cập bí mật.</x:v>
      </x:c>
      <x:c r="G16" s="8" t="str">
        <x:v>Platform</x:v>
      </x:c>
      <x:c r="H16" s="9" t="str">
        <x:v>DC Cầu Giấy và DR Nam Thăng Long</x:v>
      </x:c>
      <x:c r="I16" s="9" t="str">
        <x:v>Chưa chốt</x:v>
      </x:c>
      <x:c r="J16" s="9" t="str">
        <x:v>Chưa xác minh</x:v>
      </x:c>
      <x:c r="K16" s="9" t="str"/>
      <x:c r="L16" s="9" t="str">
        <x:v>Chưa kiểm tra</x:v>
      </x:c>
      <x:c r="M16" s="9" t="str"/>
      <x:c r="N16" s="10"/>
      <x:c r="O16" s="9" t="str"/>
      <x:c r="P16" s="9" t="str"/>
      <x:c r="Q16" s="10"/>
      <x:c r="R16" s="8" t="str">
        <x:f>IF(I16="Không áp dụng",IF(AND(S16&lt;&gt;"",M16&lt;&gt;"",ISNUMBER(N16)),"Không áp dụng đã duyệt","Chờ duyệt không áp dụng"),IF(I16&lt;&gt;"Có","Chưa chốt phạm vi",IF(J16="Chưa xác minh","Chưa đủ bằng chứng",IF(J16&lt;&gt;"Đầy đủ","Cần bổ sung triển khai",IF(K16="","Thiếu bằng chứng",IF(L16&lt;&gt;"Đạt",IF(L16="Không đạt","Cần khắc phục","Chưa kiểm tra"),IF(OR(M16="",NOT(ISNUMBER(N16))),"Chờ xác nhận","Đủ hồ sơ kiểm tra")))))))</x:f>
        <x:v>Chưa chốt phạm vi</x:v>
      </x:c>
      <x:c r="S16" s="9" t="str"/>
    </x:row>
    <x:row r="17" ht="98" customHeight="1">
      <x:c r="A17" s="4" t="str">
        <x:v>CL-12</x:v>
      </x:c>
      <x:c r="B17" s="4" t="str">
        <x:v>Cloud và OpenStack</x:v>
      </x:c>
      <x:c r="C17" s="4" t="str">
        <x:v>Thiết kế XOR hoặc dự thảo được ghi riêng
Dự thảo 5.4.5.3–5.4.5.4 tr.93–94</x:v>
      </x:c>
      <x:c r="D17" s="4" t="str">
        <x:v>HSM và khóa chủ
Nếu áp dụng Mức 4 của dự thảo, khóa chủ ở HSM; người quản trị khóa không đồng thời quản trị hạ tầng; kiểm tra pháp luật mật mã tương ứng.</x:v>
      </x:c>
      <x:c r="E17" s="4" t="str">
        <x:v>Thử quyền quản trị, backup/restore và mất HSM; không coi Barbican là bằng chứng HSM.</x:v>
      </x:c>
      <x:c r="F17" s="4" t="str">
        <x:v>Sơ đồ khóa, cấu hình tích hợp, phân quyền, hồ sơ thiết bị.</x:v>
      </x:c>
      <x:c r="G17" s="4" t="str">
        <x:v>Quản trị khóa</x:v>
      </x:c>
      <x:c r="H17" s="9" t="str">
        <x:v>DC Cầu Giấy và DR Nam Thăng Long</x:v>
      </x:c>
      <x:c r="I17" s="9" t="str">
        <x:v>Chưa chốt</x:v>
      </x:c>
      <x:c r="J17" s="9" t="str">
        <x:v>Chưa xác minh</x:v>
      </x:c>
      <x:c r="K17" s="9" t="str"/>
      <x:c r="L17" s="9" t="str">
        <x:v>Chưa kiểm tra</x:v>
      </x:c>
      <x:c r="M17" s="9" t="str"/>
      <x:c r="N17" s="10"/>
      <x:c r="O17" s="9" t="str"/>
      <x:c r="P17" s="9" t="str"/>
      <x:c r="Q17" s="10"/>
      <x:c r="R17" s="4" t="str">
        <x:f>IF(I17="Không áp dụng",IF(AND(S17&lt;&gt;"",M17&lt;&gt;"",ISNUMBER(N17)),"Không áp dụng đã duyệt","Chờ duyệt không áp dụng"),IF(I17&lt;&gt;"Có","Chưa chốt phạm vi",IF(J17="Chưa xác minh","Chưa đủ bằng chứng",IF(J17&lt;&gt;"Đầy đủ","Cần bổ sung triển khai",IF(K17="","Thiếu bằng chứng",IF(L17&lt;&gt;"Đạt",IF(L17="Không đạt","Cần khắc phục","Chưa kiểm tra"),IF(OR(M17="",NOT(ISNUMBER(N17))),"Chờ xác nhận","Đủ hồ sơ kiểm tra")))))))</x:f>
        <x:v>Chưa chốt phạm vi</x:v>
      </x:c>
      <x:c r="S17" s="9" t="str"/>
    </x:row>
    <x:row r="18" ht="98" customHeight="1">
      <x:c r="A18" s="8" t="str">
        <x:v>CL-13</x:v>
      </x:c>
      <x:c r="B18" s="8" t="str">
        <x:v>Cloud và OpenStack</x:v>
      </x:c>
      <x:c r="C18" s="8" t="str">
        <x:v>Thiết kế XOR hoặc dự thảo được ghi riêng
Dự thảo 5.4.8 tr.94–95</x:v>
      </x:c>
      <x:c r="D18" s="8" t="str">
        <x:v>Mã hóa mặc định
Nếu áp dụng dự thảo Mức 4, duy trì mã hóa lưu trữ mặc định; mô tả quyền tắt theo từng đối tượng thuộc bên sử dụng.</x:v>
      </x:c>
      <x:c r="E18" s="8" t="str">
        <x:v>Tạo mới volume/object theo dịch vụ rồi kiểm tra trạng thái thực.</x:v>
      </x:c>
      <x:c r="F18" s="8" t="str">
        <x:v>Cấu hình default, API result, key reference.</x:v>
      </x:c>
      <x:c r="G18" s="8" t="str">
        <x:v>Storage</x:v>
      </x:c>
      <x:c r="H18" s="9" t="str">
        <x:v>DC Cầu Giấy và DR Nam Thăng Long</x:v>
      </x:c>
      <x:c r="I18" s="9" t="str">
        <x:v>Chưa chốt</x:v>
      </x:c>
      <x:c r="J18" s="9" t="str">
        <x:v>Chưa xác minh</x:v>
      </x:c>
      <x:c r="K18" s="9" t="str"/>
      <x:c r="L18" s="9" t="str">
        <x:v>Chưa kiểm tra</x:v>
      </x:c>
      <x:c r="M18" s="9" t="str"/>
      <x:c r="N18" s="10"/>
      <x:c r="O18" s="9" t="str"/>
      <x:c r="P18" s="9" t="str"/>
      <x:c r="Q18" s="10"/>
      <x:c r="R18" s="8" t="str">
        <x:f>IF(I18="Không áp dụng",IF(AND(S18&lt;&gt;"",M18&lt;&gt;"",ISNUMBER(N18)),"Không áp dụng đã duyệt","Chờ duyệt không áp dụng"),IF(I18&lt;&gt;"Có","Chưa chốt phạm vi",IF(J18="Chưa xác minh","Chưa đủ bằng chứng",IF(J18&lt;&gt;"Đầy đủ","Cần bổ sung triển khai",IF(K18="","Thiếu bằng chứng",IF(L18&lt;&gt;"Đạt",IF(L18="Không đạt","Cần khắc phục","Chưa kiểm tra"),IF(OR(M18="",NOT(ISNUMBER(N18))),"Chờ xác nhận","Đủ hồ sơ kiểm tra")))))))</x:f>
        <x:v>Chưa chốt phạm vi</x:v>
      </x:c>
      <x:c r="S18" s="9" t="str"/>
    </x:row>
    <x:row r="19" ht="98" customHeight="1">
      <x:c r="A19" s="4" t="str">
        <x:v>CL-14</x:v>
      </x:c>
      <x:c r="B19" s="4" t="str">
        <x:v>Cloud và OpenStack</x:v>
      </x:c>
      <x:c r="C19" s="4" t="str">
        <x:v>Thiết kế XOR hoặc dự thảo được ghi riêng
Dự thảo 5.5.2.3 tr.95</x:v>
      </x:c>
      <x:c r="D19" s="4" t="str">
        <x:v>MFA phần cứng
Nếu áp dụng dự thảo Mức 4, yếu tố thứ hai đặc quyền dựa phần cứng chống sao chép.</x:v>
      </x:c>
      <x:c r="E19" s="4" t="str">
        <x:v>Thử đủ/thiếu thiết bị, thu hồi thiết bị và khôi phục có kiểm soát.</x:v>
      </x:c>
      <x:c r="F19" s="4" t="str">
        <x:v>Policy, danh mục token, log xác thực.</x:v>
      </x:c>
      <x:c r="G19" s="4" t="str">
        <x:v>IAM</x:v>
      </x:c>
      <x:c r="H19" s="9" t="str">
        <x:v>DC Cầu Giấy và DR Nam Thăng Long</x:v>
      </x:c>
      <x:c r="I19" s="9" t="str">
        <x:v>Chưa chốt</x:v>
      </x:c>
      <x:c r="J19" s="9" t="str">
        <x:v>Chưa xác minh</x:v>
      </x:c>
      <x:c r="K19" s="9" t="str"/>
      <x:c r="L19" s="9" t="str">
        <x:v>Chưa kiểm tra</x:v>
      </x:c>
      <x:c r="M19" s="9" t="str"/>
      <x:c r="N19" s="10"/>
      <x:c r="O19" s="9" t="str"/>
      <x:c r="P19" s="9" t="str"/>
      <x:c r="Q19" s="10"/>
      <x:c r="R19" s="4" t="str">
        <x:f>IF(I19="Không áp dụng",IF(AND(S19&lt;&gt;"",M19&lt;&gt;"",ISNUMBER(N19)),"Không áp dụng đã duyệt","Chờ duyệt không áp dụng"),IF(I19&lt;&gt;"Có","Chưa chốt phạm vi",IF(J19="Chưa xác minh","Chưa đủ bằng chứng",IF(J19&lt;&gt;"Đầy đủ","Cần bổ sung triển khai",IF(K19="","Thiếu bằng chứng",IF(L19&lt;&gt;"Đạt",IF(L19="Không đạt","Cần khắc phục","Chưa kiểm tra"),IF(OR(M19="",NOT(ISNUMBER(N19))),"Chờ xác nhận","Đủ hồ sơ kiểm tra")))))))</x:f>
        <x:v>Chưa chốt phạm vi</x:v>
      </x:c>
      <x:c r="S19" s="9" t="str"/>
    </x:row>
    <x:row r="20" ht="98" customHeight="1">
      <x:c r="A20" s="8" t="str">
        <x:v>CL-15</x:v>
      </x:c>
      <x:c r="B20" s="8" t="str">
        <x:v>Cloud và OpenStack</x:v>
      </x:c>
      <x:c r="C20" s="8" t="str">
        <x:v>Thiết kế XOR hoặc dự thảo được ghi riêng
Dự thảo 5.6 tr.96–99</x:v>
      </x:c>
      <x:c r="D20" s="8" t="str">
        <x:v>Chống lạm quyền nội bộ
Rà tách hạ tầng, bảo mật và kiểm toán; hành động nhạy cảm cần cơ chế phê duyệt; kiểm tra quyền truy cập dữ liệu khi đã giải mã.</x:v>
      </x:c>
      <x:c r="E20" s="8" t="str">
        <x:v>Thử cloud admin xuất snapshot, đổi quyền khóa hoặc xóa dấu vết trong phạm vi thử được duyệt.</x:v>
      </x:c>
      <x:c r="F20" s="8" t="str">
        <x:v>RBAC, phê duyệt, log bất biến, báo cáo thử đối kháng nội bộ.</x:v>
      </x:c>
      <x:c r="G20" s="8" t="str">
        <x:v>CISO</x:v>
      </x:c>
      <x:c r="H20" s="9" t="str">
        <x:v>DC Cầu Giấy và DR Nam Thăng Long</x:v>
      </x:c>
      <x:c r="I20" s="9" t="str">
        <x:v>Chưa chốt</x:v>
      </x:c>
      <x:c r="J20" s="9" t="str">
        <x:v>Chưa xác minh</x:v>
      </x:c>
      <x:c r="K20" s="9" t="str"/>
      <x:c r="L20" s="9" t="str">
        <x:v>Chưa kiểm tra</x:v>
      </x:c>
      <x:c r="M20" s="9" t="str"/>
      <x:c r="N20" s="10"/>
      <x:c r="O20" s="9" t="str"/>
      <x:c r="P20" s="9" t="str"/>
      <x:c r="Q20" s="10"/>
      <x:c r="R20" s="8" t="str">
        <x:f>IF(I20="Không áp dụng",IF(AND(S20&lt;&gt;"",M20&lt;&gt;"",ISNUMBER(N20)),"Không áp dụng đã duyệt","Chờ duyệt không áp dụng"),IF(I20&lt;&gt;"Có","Chưa chốt phạm vi",IF(J20="Chưa xác minh","Chưa đủ bằng chứng",IF(J20&lt;&gt;"Đầy đủ","Cần bổ sung triển khai",IF(K20="","Thiếu bằng chứng",IF(L20&lt;&gt;"Đạt",IF(L20="Không đạt","Cần khắc phục","Chưa kiểm tra"),IF(OR(M20="",NOT(ISNUMBER(N20))),"Chờ xác nhận","Đủ hồ sơ kiểm tra")))))))</x:f>
        <x:v>Chưa chốt phạm vi</x:v>
      </x:c>
      <x:c r="S20" s="9" t="str"/>
    </x:row>
    <x:row r="21" ht="98" customHeight="1">
      <x:c r="A21" s="4" t="str">
        <x:v>CL-16</x:v>
      </x:c>
      <x:c r="B21" s="4" t="str">
        <x:v>Cloud và OpenStack</x:v>
      </x:c>
      <x:c r="C21" s="4" t="str">
        <x:v>Thiết kế XOR hoặc dự thảo được ghi riêng
Dự thảo 5.4.6–5.4.7 tr.94</x:v>
      </x:c>
      <x:c r="D21" s="4" t="str">
        <x:v>Chứng thư và thời gian
Kiểm kê chứng thư, cảnh báo hạn và thay CA; hai nguồn thời gian độc lập; phát hiện lệch giờ.</x:v>
      </x:c>
      <x:c r="E21" s="4" t="str">
        <x:v>Thử đổi chứng thư, cảnh báo hết hạn và mất một nguồn giờ.</x:v>
      </x:c>
      <x:c r="F21" s="4" t="str">
        <x:v>Inventory PKI, config NTP, kết quả thử.</x:v>
      </x:c>
      <x:c r="G21" s="4" t="str">
        <x:v>Platform</x:v>
      </x:c>
      <x:c r="H21" s="9" t="str">
        <x:v>DC Cầu Giấy và DR Nam Thăng Long</x:v>
      </x:c>
      <x:c r="I21" s="9" t="str">
        <x:v>Chưa chốt</x:v>
      </x:c>
      <x:c r="J21" s="9" t="str">
        <x:v>Chưa xác minh</x:v>
      </x:c>
      <x:c r="K21" s="9" t="str"/>
      <x:c r="L21" s="9" t="str">
        <x:v>Chưa kiểm tra</x:v>
      </x:c>
      <x:c r="M21" s="9" t="str"/>
      <x:c r="N21" s="10"/>
      <x:c r="O21" s="9" t="str"/>
      <x:c r="P21" s="9" t="str"/>
      <x:c r="Q21" s="10"/>
      <x:c r="R21" s="4" t="str">
        <x:f>IF(I21="Không áp dụng",IF(AND(S21&lt;&gt;"",M21&lt;&gt;"",ISNUMBER(N21)),"Không áp dụng đã duyệt","Chờ duyệt không áp dụng"),IF(I21&lt;&gt;"Có","Chưa chốt phạm vi",IF(J21="Chưa xác minh","Chưa đủ bằng chứng",IF(J21&lt;&gt;"Đầy đủ","Cần bổ sung triển khai",IF(K21="","Thiếu bằng chứng",IF(L21&lt;&gt;"Đạt",IF(L21="Không đạt","Cần khắc phục","Chưa kiểm tra"),IF(OR(M21="",NOT(ISNUMBER(N21))),"Chờ xác nhận","Đủ hồ sơ kiểm tra")))))))</x:f>
        <x:v>Chưa chốt phạm vi</x:v>
      </x:c>
      <x:c r="S21" s="9" t="str"/>
    </x:row>
    <x:row r="22" ht="98" customHeight="1">
      <x:c r="A22" s="8" t="str">
        <x:v>CL-17</x:v>
      </x:c>
      <x:c r="B22" s="8" t="str">
        <x:v>Cloud và OpenStack</x:v>
      </x:c>
      <x:c r="C22" s="8" t="str">
        <x:v>Thiết kế XOR hoặc dự thảo được ghi riêng
Dự thảo 5.9 tr.103–105</x:v>
      </x:c>
      <x:c r="D22" s="8" t="str">
        <x:v>Nhật ký theo tenant
Kiểm tra phân quyền log và khả năng truy vết riêng từng tenant; bảo vệ độc lập quyền vận hành cloud.</x:v>
      </x:c>
      <x:c r="E22" s="8" t="str">
        <x:v>Thử tenant A đọc log B và quyền quản trị sửa log.</x:v>
      </x:c>
      <x:c r="F22" s="8" t="str">
        <x:v>Log schema, ACL, audit và kết quả thử.</x:v>
      </x:c>
      <x:c r="G22" s="8" t="str">
        <x:v>SOC</x:v>
      </x:c>
      <x:c r="H22" s="9" t="str">
        <x:v>DC Cầu Giấy và DR Nam Thăng Long</x:v>
      </x:c>
      <x:c r="I22" s="9" t="str">
        <x:v>Chưa chốt</x:v>
      </x:c>
      <x:c r="J22" s="9" t="str">
        <x:v>Chưa xác minh</x:v>
      </x:c>
      <x:c r="K22" s="9" t="str"/>
      <x:c r="L22" s="9" t="str">
        <x:v>Chưa kiểm tra</x:v>
      </x:c>
      <x:c r="M22" s="9" t="str"/>
      <x:c r="N22" s="10"/>
      <x:c r="O22" s="9" t="str"/>
      <x:c r="P22" s="9" t="str"/>
      <x:c r="Q22" s="10"/>
      <x:c r="R22" s="8" t="str">
        <x:f>IF(I22="Không áp dụng",IF(AND(S22&lt;&gt;"",M22&lt;&gt;"",ISNUMBER(N22)),"Không áp dụng đã duyệt","Chờ duyệt không áp dụng"),IF(I22&lt;&gt;"Có","Chưa chốt phạm vi",IF(J22="Chưa xác minh","Chưa đủ bằng chứng",IF(J22&lt;&gt;"Đầy đủ","Cần bổ sung triển khai",IF(K22="","Thiếu bằng chứng",IF(L22&lt;&gt;"Đạt",IF(L22="Không đạt","Cần khắc phục","Chưa kiểm tra"),IF(OR(M22="",NOT(ISNUMBER(N22))),"Chờ xác nhận","Đủ hồ sơ kiểm tra")))))))</x:f>
        <x:v>Chưa chốt phạm vi</x:v>
      </x:c>
      <x:c r="S22" s="9" t="str"/>
    </x:row>
    <x:row r="23" ht="98" customHeight="1">
      <x:c r="A23" s="4" t="str">
        <x:v>CL-18</x:v>
      </x:c>
      <x:c r="B23" s="4" t="str">
        <x:v>Cloud và OpenStack</x:v>
      </x:c>
      <x:c r="C23" s="4" t="str">
        <x:v>Thiết kế XOR hoặc dự thảo được ghi riêng
Dự thảo 5.10 tr.105–106; thiết kế XOR</x:v>
      </x:c>
      <x:c r="D23" s="4" t="str">
        <x:v>Backup bất biến và DR
Rà bản sao bất biến control plane và dữ liệu tenant trong trách nhiệm; DR có đủ dịch vụ nền; RPO/RTO do BIA quyết định.</x:v>
      </x:c>
      <x:c r="E23" s="4" t="str">
        <x:v>Thử xóa bản bất biến, restore, failover có fencing và failback.</x:v>
      </x:c>
      <x:c r="F23" s="4" t="str">
        <x:v>Lock policy, runbook, số đo RPO/RTO, biên bản.</x:v>
      </x:c>
      <x:c r="G23" s="4" t="str">
        <x:v>Backup</x:v>
      </x:c>
      <x:c r="H23" s="9" t="str">
        <x:v>DC Cầu Giấy và DR Nam Thăng Long</x:v>
      </x:c>
      <x:c r="I23" s="9" t="str">
        <x:v>Chưa chốt</x:v>
      </x:c>
      <x:c r="J23" s="9" t="str">
        <x:v>Chưa xác minh</x:v>
      </x:c>
      <x:c r="K23" s="9" t="str"/>
      <x:c r="L23" s="9" t="str">
        <x:v>Chưa kiểm tra</x:v>
      </x:c>
      <x:c r="M23" s="9" t="str"/>
      <x:c r="N23" s="10"/>
      <x:c r="O23" s="9" t="str"/>
      <x:c r="P23" s="9" t="str"/>
      <x:c r="Q23" s="10"/>
      <x:c r="R23" s="4" t="str">
        <x:f>IF(I23="Không áp dụng",IF(AND(S23&lt;&gt;"",M23&lt;&gt;"",ISNUMBER(N23)),"Không áp dụng đã duyệt","Chờ duyệt không áp dụng"),IF(I23&lt;&gt;"Có","Chưa chốt phạm vi",IF(J23="Chưa xác minh","Chưa đủ bằng chứng",IF(J23&lt;&gt;"Đầy đủ","Cần bổ sung triển khai",IF(K23="","Thiếu bằng chứng",IF(L23&lt;&gt;"Đạt",IF(L23="Không đạt","Cần khắc phục","Chưa kiểm tra"),IF(OR(M23="",NOT(ISNUMBER(N23))),"Chờ xác nhận","Đủ hồ sơ kiểm tra")))))))</x:f>
        <x:v>Chưa chốt phạm vi</x:v>
      </x:c>
      <x:c r="S23" s="9" t="str"/>
    </x:row>
  </x:sheetData>
  <x:conditionalFormatting sqref="R6:R23">
    <x:cfRule type="containsText" dxfId="8" priority="1" operator="containsText" text="Đủ hồ sơ kiểm tra"/>
    <x:cfRule type="containsText" dxfId="9" priority="2" operator="containsText" text="Đủ hồ sơ theo khai báo"/>
    <x:cfRule type="containsText" dxfId="10" priority="3" operator="containsText" text="Cần khắc phục"/>
    <x:cfRule type="containsText" dxfId="11" priority="4" operator="containsText" text="Chưa đủ bằng chứng"/>
    <x:cfRule type="containsText" dxfId="12" priority="5" operator="containsText" text="Thiếu bằng chứng"/>
    <x:cfRule type="containsText" dxfId="13" priority="6" operator="containsText" text="Chờ duyệt không áp dụng"/>
    <x:cfRule type="containsText" dxfId="14" priority="7" operator="containsText" text="Không áp dụng đã duyệt"/>
  </x:conditionalFormatting>
  <x:conditionalFormatting sqref="Q6:Q23">
    <x:cfRule type="expression" dxfId="15" priority="8">
      <x:formula>AND(ISNUMBER(Q6),Q6&lt;'Huong dan'!$B$4,R6&lt;&gt;"Đủ hồ sơ kiểm tra",R6&lt;&gt;"Không áp dụng đã duyệt")</x:formula>
    </x:cfRule>
  </x:conditionalFormatting>
  <x:dataValidations count="3">
    <x:dataValidation type="list" sqref="I6:I23">
      <x:formula1>"Có,Không áp dụng,Chưa chốt"</x:formula1>
    </x:dataValidation>
    <x:dataValidation type="list" sqref="J6:J23">
      <x:formula1>"Chưa xác minh,Chưa triển khai,Một phần,Đầy đủ"</x:formula1>
    </x:dataValidation>
    <x:dataValidation type="list" sqref="L6:L23">
      <x:formula1>"Chưa kiểm tra,Đạt,Không đạt"</x:formula1>
    </x:dataValidation>
  </x:dataValidations>
  <x:pageMargins left="0.7" right="0.7" top="0.75" bottom="0.75" header="0.3" footer="0.3"/>
  <x:tableParts count="1">
    <x:tablePart xmlns:r="http://schemas.openxmlformats.org/officeDocument/2006/relationships" r:id="R5fb520bb5b254a89"/>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2" hidden="0" customWidth="1"/>
    <x:col min="3" max="3" width="27" hidden="0" customWidth="1"/>
    <x:col min="4" max="4" width="60" hidden="0" customWidth="1"/>
    <x:col min="5" max="5" width="40" hidden="0" customWidth="1"/>
    <x:col min="6" max="6" width="28" hidden="0" customWidth="1"/>
    <x:col min="7" max="7" width="20" hidden="0" customWidth="1"/>
    <x:col min="8" max="8" width="40" hidden="0" customWidth="1"/>
    <x:col min="9" max="9" width="24" hidden="0" customWidth="1"/>
    <x:col min="10" max="10" width="18" hidden="0" customWidth="1"/>
    <x:col min="11" max="11" width="45" hidden="0" customWidth="1"/>
    <x:col min="12" max="12" width="18" hidden="0" customWidth="1"/>
    <x:col min="13" max="13" width="30" hidden="0" customWidth="1"/>
  </x:cols>
  <x:sheetData>
    <x:row r="1">
      <x:c r="A1" s="1"/>
      <x:c r="B1" s="1"/>
      <x:c r="C1" s="1"/>
      <x:c r="D1" s="1"/>
      <x:c r="E1" s="1"/>
      <x:c r="F1" s="1"/>
      <x:c r="G1" s="1"/>
      <x:c r="H1" s="1"/>
      <x:c r="I1" s="1"/>
      <x:c r="J1" s="1"/>
      <x:c r="K1" s="1"/>
      <x:c r="L1" s="1"/>
      <x:c r="M1" s="1"/>
    </x:row>
    <x:row r="2">
      <x:c r="A2" s="2" t="str">
        <x:v>Danh mục hồ sơ cần hoàn thiện</x:v>
      </x:c>
      <x:c r="B2" s="1"/>
      <x:c r="C2" s="1"/>
      <x:c r="D2" s="1"/>
      <x:c r="E2" s="1"/>
      <x:c r="F2" s="1"/>
      <x:c r="G2" s="1"/>
      <x:c r="H2" s="1"/>
      <x:c r="I2" s="1"/>
      <x:c r="J2" s="1"/>
      <x:c r="K2" s="1"/>
      <x:c r="L2" s="1"/>
      <x:c r="M2" s="1"/>
    </x:row>
    <x:row r="3">
      <x:c r="A3" s="1"/>
      <x:c r="B3" s="1"/>
      <x:c r="C3" s="1"/>
      <x:c r="D3" s="1"/>
      <x:c r="E3" s="1"/>
      <x:c r="F3" s="1"/>
      <x:c r="G3" s="1"/>
      <x:c r="H3" s="1"/>
      <x:c r="I3" s="1"/>
      <x:c r="J3" s="1"/>
      <x:c r="K3" s="1"/>
      <x:c r="L3" s="1"/>
      <x:c r="M3" s="1"/>
    </x:row>
    <x:row r="4">
      <x:c r="A4" s="1"/>
      <x:c r="B4" s="1"/>
      <x:c r="C4" s="1"/>
      <x:c r="D4" s="1"/>
      <x:c r="E4" s="1"/>
      <x:c r="F4" s="1"/>
      <x:c r="G4" s="1"/>
      <x:c r="H4" s="1"/>
      <x:c r="I4" s="1"/>
      <x:c r="J4" s="1"/>
      <x:c r="K4" s="1"/>
      <x:c r="L4" s="1"/>
      <x:c r="M4" s="1"/>
    </x:row>
    <x:row r="5" ht="40" customHeight="1">
      <x:c r="A5" s="7" t="str">
        <x:v>Mã</x:v>
      </x:c>
      <x:c r="B5" s="7" t="str">
        <x:v>Tài liệu</x:v>
      </x:c>
      <x:c r="C5" s="7" t="str">
        <x:v>Căn cứ</x:v>
      </x:c>
      <x:c r="D5" s="7" t="str">
        <x:v>Nội dung phải có</x:v>
      </x:c>
      <x:c r="E5" s="7" t="str">
        <x:v>Vị trí dự thảo</x:v>
      </x:c>
      <x:c r="F5" s="7" t="str">
        <x:v>Đầu mối</x:v>
      </x:c>
      <x:c r="G5" s="7" t="str">
        <x:v>Độ đầy đủ</x:v>
      </x:c>
      <x:c r="H5" s="7" t="str">
        <x:v>Bằng chứng bản đã xác nhận</x:v>
      </x:c>
      <x:c r="I5" s="7" t="str">
        <x:v>Người xác nhận</x:v>
      </x:c>
      <x:c r="J5" s="7" t="str">
        <x:v>Ngày xác nhận</x:v>
      </x:c>
      <x:c r="K5" s="7" t="str">
        <x:v>Thiếu sót và hành động</x:v>
      </x:c>
      <x:c r="L5" s="7" t="str">
        <x:v>Hạn hoàn thành</x:v>
      </x:c>
      <x:c r="M5" s="7" t="str">
        <x:v>Trạng thái</x:v>
      </x:c>
    </x:row>
    <x:row r="6" ht="98" customHeight="1">
      <x:c r="A6" s="8" t="str">
        <x:v>HS01</x:v>
      </x:c>
      <x:c r="B6" s="8" t="str">
        <x:v>Tổng quan HTTT</x:v>
      </x:c>
      <x:c r="C6" s="8" t="str">
        <x:v>Điều 21.1 và 22.3</x:v>
      </x:c>
      <x:c r="D6" s="8" t="str">
        <x:v>Pháp nhân, chức năng, chủ quản, vận hành, người đại diện/liên hệ, phạm vi, quy mô, người dùng và dịch vụ.</x:v>
      </x:c>
      <x:c r="E6" s="8" t="str">
        <x:v>01 Thuyết minh, Phần I</x:v>
      </x:c>
      <x:c r="F6" s="8" t="str">
        <x:v>GRC và chủ quản</x:v>
      </x:c>
      <x:c r="G6" s="9" t="str">
        <x:v>Chưa đủ</x:v>
      </x:c>
      <x:c r="H6" s="9" t="str"/>
      <x:c r="I6" s="9" t="str"/>
      <x:c r="J6" s="10"/>
      <x:c r="K6" s="9" t="str"/>
      <x:c r="L6" s="10"/>
      <x:c r="M6" s="8" t="str">
        <x:f>IF(G6&lt;&gt;"Đầy đủ","Cần bổ sung",IF(H6="","Thiếu bằng chứng",IF(OR(I6="",NOT(ISNUMBER(J6))),"Chờ xác nhận","Đủ hồ sơ theo khai báo")))</x:f>
        <x:v>Cần bổ sung</x:v>
      </x:c>
    </x:row>
    <x:row r="7" ht="98" customHeight="1">
      <x:c r="A7" s="4" t="str">
        <x:v>HS02</x:v>
      </x:c>
      <x:c r="B7" s="4" t="str">
        <x:v>Thiết kế hệ thống đang vận hành</x:v>
      </x:c>
      <x:c r="C7" s="4" t="str">
        <x:v>Điều 21.2 b; 22.3 d</x:v>
      </x:c>
      <x:c r="D7" s="4" t="str">
        <x:v>Thiết kế thi công đã được phê duyệt hoặc tài liệu tương đương; mô hình vật lý/lô-gic; tài sản, ứng dụng, OS, vị trí, IP và vùng mạng.</x:v>
      </x:c>
      <x:c r="E7" s="4" t="str">
        <x:v>01 Thuyết minh, Phần II và hồ sơ as-built</x:v>
      </x:c>
      <x:c r="F7" s="4" t="str">
        <x:v>Kiến trúc và Platform</x:v>
      </x:c>
      <x:c r="G7" s="9" t="str">
        <x:v>Chưa đủ</x:v>
      </x:c>
      <x:c r="H7" s="9" t="str"/>
      <x:c r="I7" s="9" t="str"/>
      <x:c r="J7" s="10"/>
      <x:c r="K7" s="9" t="str"/>
      <x:c r="L7" s="10"/>
      <x:c r="M7" s="4" t="str">
        <x:f>IF(G7&lt;&gt;"Đầy đủ","Cần bổ sung",IF(H7="","Thiếu bằng chứng",IF(OR(I7="",NOT(ISNUMBER(J7))),"Chờ xác nhận","Đủ hồ sơ theo khai báo")))</x:f>
        <x:v>Cần bổ sung</x:v>
      </x:c>
    </x:row>
    <x:row r="8" ht="98" customHeight="1">
      <x:c r="A8" s="8" t="str">
        <x:v>HS03</x:v>
      </x:c>
      <x:c r="B8" s="8" t="str">
        <x:v>Căn cứ đề xuất cấp độ</x:v>
      </x:c>
      <x:c r="C8" s="8" t="str">
        <x:v>Điều 14; 21.3; 22.4–5</x:v>
      </x:c>
      <x:c r="D8" s="8" t="str">
        <x:v>Chọn tiêu chí Điều 14 có bằng chứng; loại dữ liệu, đối tượng phục vụ, ảnh hưởng và báo cáo rủi ro chi tiết.</x:v>
      </x:c>
      <x:c r="E8" s="8" t="str">
        <x:v>01 Thuyết minh, Phần III</x:v>
      </x:c>
      <x:c r="F8" s="8" t="str">
        <x:v>GRC và pháp chế</x:v>
      </x:c>
      <x:c r="G8" s="9" t="str">
        <x:v>Chưa đủ</x:v>
      </x:c>
      <x:c r="H8" s="9" t="str"/>
      <x:c r="I8" s="9" t="str"/>
      <x:c r="J8" s="10"/>
      <x:c r="K8" s="9" t="str"/>
      <x:c r="L8" s="10"/>
      <x:c r="M8" s="8" t="str">
        <x:f>IF(G8&lt;&gt;"Đầy đủ","Cần bổ sung",IF(H8="","Thiếu bằng chứng",IF(OR(I8="",NOT(ISNUMBER(J8))),"Chờ xác nhận","Đủ hồ sơ theo khai báo")))</x:f>
        <x:v>Cần bổ sung</x:v>
      </x:c>
    </x:row>
    <x:row r="9" ht="98" customHeight="1">
      <x:c r="A9" s="4" t="str">
        <x:v>HS04</x:v>
      </x:c>
      <x:c r="B9" s="4" t="str">
        <x:v>Phương án bảo đảm an ninh mạng</x:v>
      </x:c>
      <x:c r="C9" s="4" t="str">
        <x:v>Điều 21.4; 22.6</x:v>
      </x:c>
      <x:c r="D9" s="4" t="str">
        <x:v>Biện pháp quản lý, kỹ thuật, vật lý cho từng yêu cầu; chỉ rõ hiện trạng, thiếu sót và kế hoạch.</x:v>
      </x:c>
      <x:c r="E9" s="4" t="str">
        <x:v>01 Phần IV, 02 Phụ lục, 03 Quy chế</x:v>
      </x:c>
      <x:c r="F9" s="4" t="str">
        <x:v>CISO và kỹ thuật</x:v>
      </x:c>
      <x:c r="G9" s="9" t="str">
        <x:v>Chưa đủ</x:v>
      </x:c>
      <x:c r="H9" s="9" t="str"/>
      <x:c r="I9" s="9" t="str"/>
      <x:c r="J9" s="10"/>
      <x:c r="K9" s="9" t="str"/>
      <x:c r="L9" s="10"/>
      <x:c r="M9" s="4" t="str">
        <x:f>IF(G9&lt;&gt;"Đầy đủ","Cần bổ sung",IF(H9="","Thiếu bằng chứng",IF(OR(I9="",NOT(ISNUMBER(J9))),"Chờ xác nhận","Đủ hồ sơ theo khai báo")))</x:f>
        <x:v>Cần bổ sung</x:v>
      </x:c>
    </x:row>
    <x:row r="10" ht="98" customHeight="1">
      <x:c r="A10" s="8" t="str">
        <x:v>HS05</x:v>
      </x:c>
      <x:c r="B10" s="8" t="str">
        <x:v>Ý kiến chuyên môn của đơn vị chuyên trách</x:v>
      </x:c>
      <x:c r="C10" s="8" t="str">
        <x:v>Điều 21.5; 20.1 d</x:v>
      </x:c>
      <x:c r="D10" s="8" t="str">
        <x:v>Văn bản thật của đơn vị chuyên trách thuộc chủ quản; người ký đúng thẩm quyền, kết luận và tồn tại.</x:v>
      </x:c>
      <x:c r="E10" s="8" t="str">
        <x:v>04 Công văn và 08 mục A</x:v>
      </x:c>
      <x:c r="F10" s="8" t="str">
        <x:v>Đơn vị chuyên trách ANM</x:v>
      </x:c>
      <x:c r="G10" s="9" t="str">
        <x:v>Chưa đủ</x:v>
      </x:c>
      <x:c r="H10" s="9" t="str"/>
      <x:c r="I10" s="9" t="str"/>
      <x:c r="J10" s="10"/>
      <x:c r="K10" s="9" t="str"/>
      <x:c r="L10" s="10"/>
      <x:c r="M10" s="8" t="str">
        <x:f>IF(G10&lt;&gt;"Đầy đủ","Cần bổ sung",IF(H10="","Thiếu bằng chứng",IF(OR(I10="",NOT(ISNUMBER(J10))),"Chờ xác nhận","Đủ hồ sơ theo khai báo")))</x:f>
        <x:v>Cần bổ sung</x:v>
      </x:c>
    </x:row>
    <x:row r="11" ht="98" customHeight="1">
      <x:c r="A11" s="4" t="str">
        <x:v>HS06</x:v>
      </x:c>
      <x:c r="B11" s="4" t="str">
        <x:v>Công văn đề nghị thẩm định</x:v>
      </x:c>
      <x:c r="C11" s="4" t="str">
        <x:v>Điều 20; Mẫu 02</x:v>
      </x:c>
      <x:c r="D11" s="4" t="str">
        <x:v>Chủ quản gửi cơ quan thẩm định đúng thẩm quyền; kèm HS01–HS05 và danh mục phiên bản.</x:v>
      </x:c>
      <x:c r="E11" s="4" t="str">
        <x:v>05 Công văn đề nghị thẩm định</x:v>
      </x:c>
      <x:c r="F11" s="4" t="str">
        <x:v>Văn thư và chủ quản</x:v>
      </x:c>
      <x:c r="G11" s="9" t="str">
        <x:v>Chưa đủ</x:v>
      </x:c>
      <x:c r="H11" s="9" t="str"/>
      <x:c r="I11" s="9" t="str"/>
      <x:c r="J11" s="10"/>
      <x:c r="K11" s="9" t="str"/>
      <x:c r="L11" s="10"/>
      <x:c r="M11" s="4" t="str">
        <x:f>IF(G11&lt;&gt;"Đầy đủ","Cần bổ sung",IF(H11="","Thiếu bằng chứng",IF(OR(I11="",NOT(ISNUMBER(J11))),"Chờ xác nhận","Đủ hồ sơ theo khai báo")))</x:f>
        <x:v>Cần bổ sung</x:v>
      </x:c>
    </x:row>
    <x:row r="12" ht="98" customHeight="1">
      <x:c r="A12" s="8" t="str">
        <x:v>HS07</x:v>
      </x:c>
      <x:c r="B12" s="8" t="str">
        <x:v>Ý kiến thẩm định</x:v>
      </x:c>
      <x:c r="C12" s="8" t="str">
        <x:v>Điều 18; 23; Mẫu 04</x:v>
      </x:c>
      <x:c r="D12" s="8" t="str">
        <x:v>Văn bản do cơ quan thẩm định ban hành; không tự lập thay hoặc điền sẵn đạt.</x:v>
      </x:c>
      <x:c r="E12" s="8" t="str">
        <x:v>Tài liệu tiếp nhận từ cơ quan thẩm định</x:v>
      </x:c>
      <x:c r="F12" s="8" t="str">
        <x:v>Chủ quản</x:v>
      </x:c>
      <x:c r="G12" s="9" t="str">
        <x:v>Chưa đủ</x:v>
      </x:c>
      <x:c r="H12" s="9" t="str"/>
      <x:c r="I12" s="9" t="str"/>
      <x:c r="J12" s="10"/>
      <x:c r="K12" s="9" t="str"/>
      <x:c r="L12" s="10"/>
      <x:c r="M12" s="8" t="str">
        <x:f>IF(G12&lt;&gt;"Đầy đủ","Cần bổ sung",IF(H12="","Thiếu bằng chứng",IF(OR(I12="",NOT(ISNUMBER(J12))),"Chờ xác nhận","Đủ hồ sơ theo khai báo")))</x:f>
        <x:v>Cần bổ sung</x:v>
      </x:c>
    </x:row>
    <x:row r="13" ht="98" customHeight="1">
      <x:c r="A13" s="4" t="str">
        <x:v>HS08</x:v>
      </x:c>
      <x:c r="B13" s="4" t="str">
        <x:v>Tờ trình phê duyệt</x:v>
      </x:c>
      <x:c r="C13" s="4" t="str">
        <x:v>Điều 24; Mẫu 05</x:v>
      </x:c>
      <x:c r="D13" s="4" t="str">
        <x:v>Hồ sơ đề xuất, ý kiến thẩm định và bản giải trình/khắc phục nếu có.</x:v>
      </x:c>
      <x:c r="E13" s="4" t="str">
        <x:v>06 Tờ trình</x:v>
      </x:c>
      <x:c r="F13" s="4" t="str">
        <x:v>Đơn vị vận hành</x:v>
      </x:c>
      <x:c r="G13" s="9" t="str">
        <x:v>Chưa đủ</x:v>
      </x:c>
      <x:c r="H13" s="9" t="str"/>
      <x:c r="I13" s="9" t="str"/>
      <x:c r="J13" s="10"/>
      <x:c r="K13" s="9" t="str"/>
      <x:c r="L13" s="10"/>
      <x:c r="M13" s="4" t="str">
        <x:f>IF(G13&lt;&gt;"Đầy đủ","Cần bổ sung",IF(H13="","Thiếu bằng chứng",IF(OR(I13="",NOT(ISNUMBER(J13))),"Chờ xác nhận","Đủ hồ sơ theo khai báo")))</x:f>
        <x:v>Cần bổ sung</x:v>
      </x:c>
    </x:row>
    <x:row r="14" ht="98" customHeight="1">
      <x:c r="A14" s="8" t="str">
        <x:v>HS09</x:v>
      </x:c>
      <x:c r="B14" s="8" t="str">
        <x:v>Quyết định phê duyệt cấp độ</x:v>
      </x:c>
      <x:c r="C14" s="8" t="str">
        <x:v>Điều 18.3 d; Mẫu 06</x:v>
      </x:c>
      <x:c r="D14" s="8" t="str">
        <x:v>Chỉ ban hành sau quy trình thẩm định; ký bởi chủ quản; số, ngày và bản kèm theo khớp.</x:v>
      </x:c>
      <x:c r="E14" s="8" t="str">
        <x:v>07 Dự thảo quyết định</x:v>
      </x:c>
      <x:c r="F14" s="8" t="str">
        <x:v>Chủ quản</x:v>
      </x:c>
      <x:c r="G14" s="9" t="str">
        <x:v>Chưa đủ</x:v>
      </x:c>
      <x:c r="H14" s="9" t="str"/>
      <x:c r="I14" s="9" t="str"/>
      <x:c r="J14" s="10"/>
      <x:c r="K14" s="9" t="str"/>
      <x:c r="L14" s="10"/>
      <x:c r="M14" s="8" t="str">
        <x:f>IF(G14&lt;&gt;"Đầy đủ","Cần bổ sung",IF(H14="","Thiếu bằng chứng",IF(OR(I14="",NOT(ISNUMBER(J14))),"Chờ xác nhận","Đủ hồ sơ theo khai báo")))</x:f>
        <x:v>Cần bổ sung</x:v>
      </x:c>
    </x:row>
    <x:row r="15" ht="98" customHeight="1">
      <x:c r="A15" s="4" t="str">
        <x:v>HS10</x:v>
      </x:c>
      <x:c r="B15" s="4" t="str">
        <x:v>Quy chế và phân công</x:v>
      </x:c>
      <x:c r="C15" s="4" t="str">
        <x:v>TCVN 6.1, 6.14, 6.17</x:v>
      </x:c>
      <x:c r="D15" s="4" t="str">
        <x:v>Bản đã ký, người phụ trách, lịch trực, RACI và đầu mối chính/dự phòng.</x:v>
      </x:c>
      <x:c r="E15" s="4" t="str">
        <x:v>03 Quy chế và quyết định ban hành thực tế</x:v>
      </x:c>
      <x:c r="F15" s="4" t="str">
        <x:v>Chủ quản và HR</x:v>
      </x:c>
      <x:c r="G15" s="9" t="str">
        <x:v>Chưa đủ</x:v>
      </x:c>
      <x:c r="H15" s="9" t="str"/>
      <x:c r="I15" s="9" t="str"/>
      <x:c r="J15" s="10"/>
      <x:c r="K15" s="9" t="str"/>
      <x:c r="L15" s="10"/>
      <x:c r="M15" s="4" t="str">
        <x:f>IF(G15&lt;&gt;"Đầy đủ","Cần bổ sung",IF(H15="","Thiếu bằng chứng",IF(OR(I15="",NOT(ISNUMBER(J15))),"Chờ xác nhận","Đủ hồ sơ theo khai báo")))</x:f>
        <x:v>Cần bổ sung</x:v>
      </x:c>
    </x:row>
    <x:row r="16" ht="98" customHeight="1">
      <x:c r="A16" s="8" t="str">
        <x:v>HS11</x:v>
      </x:c>
      <x:c r="B16" s="8" t="str">
        <x:v>Danh mục tài sản và dữ liệu</x:v>
      </x:c>
      <x:c r="C16" s="8" t="str">
        <x:v>TCVN 6.2–6.4</x:v>
      </x:c>
      <x:c r="D16" s="8" t="str">
        <x:v>CMDB phần cứng/phần mềm, danh mục dữ liệu, chủ sở hữu, phân loại và vòng đời.</x:v>
      </x:c>
      <x:c r="E16" s="8" t="str">
        <x:v>Excel Tài sản, BIA và hồ sơ quản lý thực tế</x:v>
      </x:c>
      <x:c r="F16" s="8" t="str">
        <x:v>Platform</x:v>
      </x:c>
      <x:c r="G16" s="9" t="str">
        <x:v>Chưa đủ</x:v>
      </x:c>
      <x:c r="H16" s="9" t="str"/>
      <x:c r="I16" s="9" t="str"/>
      <x:c r="J16" s="10"/>
      <x:c r="K16" s="9" t="str"/>
      <x:c r="L16" s="10"/>
      <x:c r="M16" s="8" t="str">
        <x:f>IF(G16&lt;&gt;"Đầy đủ","Cần bổ sung",IF(H16="","Thiếu bằng chứng",IF(OR(I16="",NOT(ISNUMBER(J16))),"Chờ xác nhận","Đủ hồ sơ theo khai báo")))</x:f>
        <x:v>Cần bổ sung</x:v>
      </x:c>
    </x:row>
    <x:row r="17" ht="98" customHeight="1">
      <x:c r="A17" s="4" t="str">
        <x:v>HS12</x:v>
      </x:c>
      <x:c r="B17" s="4" t="str">
        <x:v>Cấu hình và kiểm soát truy cập</x:v>
      </x:c>
      <x:c r="C17" s="4" t="str">
        <x:v>TCVN 6.5, 6.6, 6.12</x:v>
      </x:c>
      <x:c r="D17" s="4" t="str">
        <x:v>Baseline, ma trận quyền, MFA/PAM, firewall/SG, IP/route, khóa và bí mật đã che.</x:v>
      </x:c>
      <x:c r="E17" s="4" t="str">
        <x:v>Kho bằng chứng cấu hình</x:v>
      </x:c>
      <x:c r="F17" s="4" t="str">
        <x:v>IAM và Network</x:v>
      </x:c>
      <x:c r="G17" s="9" t="str">
        <x:v>Chưa đủ</x:v>
      </x:c>
      <x:c r="H17" s="9" t="str"/>
      <x:c r="I17" s="9" t="str"/>
      <x:c r="J17" s="10"/>
      <x:c r="K17" s="9" t="str"/>
      <x:c r="L17" s="10"/>
      <x:c r="M17" s="4" t="str">
        <x:f>IF(G17&lt;&gt;"Đầy đủ","Cần bổ sung",IF(H17="","Thiếu bằng chứng",IF(OR(I17="",NOT(ISNUMBER(J17))),"Chờ xác nhận","Đủ hồ sơ theo khai báo")))</x:f>
        <x:v>Cần bổ sung</x:v>
      </x:c>
    </x:row>
    <x:row r="18" ht="98" customHeight="1">
      <x:c r="A18" s="8" t="str">
        <x:v>HS13</x:v>
      </x:c>
      <x:c r="B18" s="8" t="str">
        <x:v>Bằng chứng giám sát</x:v>
      </x:c>
      <x:c r="C18" s="8" t="str">
        <x:v>TCVN 6.8, 6.10, 6.13</x:v>
      </x:c>
      <x:c r="D18" s="8" t="str">
        <x:v>Độ phủ, mẫu sự kiện, retention, bảo vệ log, lịch trực, ticket và xử lý ngoài giờ.</x:v>
      </x:c>
      <x:c r="E18" s="8" t="str">
        <x:v>Kho log và báo cáo SOC</x:v>
      </x:c>
      <x:c r="F18" s="8" t="str">
        <x:v>SOC</x:v>
      </x:c>
      <x:c r="G18" s="9" t="str">
        <x:v>Chưa đủ</x:v>
      </x:c>
      <x:c r="H18" s="9" t="str"/>
      <x:c r="I18" s="9" t="str"/>
      <x:c r="J18" s="10"/>
      <x:c r="K18" s="9" t="str"/>
      <x:c r="L18" s="10"/>
      <x:c r="M18" s="8" t="str">
        <x:f>IF(G18&lt;&gt;"Đầy đủ","Cần bổ sung",IF(H18="","Thiếu bằng chứng",IF(OR(I18="",NOT(ISNUMBER(J18))),"Chờ xác nhận","Đủ hồ sơ theo khai báo")))</x:f>
        <x:v>Cần bổ sung</x:v>
      </x:c>
    </x:row>
    <x:row r="19" ht="98" customHeight="1">
      <x:c r="A19" s="4" t="str">
        <x:v>HS14</x:v>
      </x:c>
      <x:c r="B19" s="4" t="str">
        <x:v>Sao lưu và khôi phục</x:v>
      </x:c>
      <x:c r="C19" s="4" t="str">
        <x:v>TCVN 6.11; BIA</x:v>
      </x:c>
      <x:c r="D19" s="4" t="str">
        <x:v>Lịch backup, bản sao độc lập, restore, failover, failback, cold start và RPO/RTO đo được.</x:v>
      </x:c>
      <x:c r="E19" s="4" t="str">
        <x:v>Kho biên bản T08–T10</x:v>
      </x:c>
      <x:c r="F19" s="4" t="str">
        <x:v>Backup</x:v>
      </x:c>
      <x:c r="G19" s="9" t="str">
        <x:v>Chưa đủ</x:v>
      </x:c>
      <x:c r="H19" s="9" t="str"/>
      <x:c r="I19" s="9" t="str"/>
      <x:c r="J19" s="10"/>
      <x:c r="K19" s="9" t="str"/>
      <x:c r="L19" s="10"/>
      <x:c r="M19" s="4" t="str">
        <x:f>IF(G19&lt;&gt;"Đầy đủ","Cần bổ sung",IF(H19="","Thiếu bằng chứng",IF(OR(I19="",NOT(ISNUMBER(J19))),"Chờ xác nhận","Đủ hồ sơ theo khai báo")))</x:f>
        <x:v>Cần bổ sung</x:v>
      </x:c>
    </x:row>
    <x:row r="20" ht="98" customHeight="1">
      <x:c r="A20" s="8" t="str">
        <x:v>HS15</x:v>
      </x:c>
      <x:c r="B20" s="8" t="str">
        <x:v>Báo cáo kiểm tra độc lập</x:v>
      </x:c>
      <x:c r="C20" s="8" t="str">
        <x:v>TCVN 6.12.2.7; 6.18</x:v>
      </x:c>
      <x:c r="D20" s="8" t="str">
        <x:v>ROE, báo cáo pentest trong/ngoài, nghiệm thu và retest; bằng chứng phải gắn phiên bản.</x:v>
      </x:c>
      <x:c r="E20" s="8" t="str">
        <x:v>08 mục B và báo cáo bên đánh giá</x:v>
      </x:c>
      <x:c r="F20" s="8" t="str">
        <x:v>Đánh giá độc lập</x:v>
      </x:c>
      <x:c r="G20" s="9" t="str">
        <x:v>Chưa đủ</x:v>
      </x:c>
      <x:c r="H20" s="9" t="str"/>
      <x:c r="I20" s="9" t="str"/>
      <x:c r="J20" s="10"/>
      <x:c r="K20" s="9" t="str"/>
      <x:c r="L20" s="10"/>
      <x:c r="M20" s="8" t="str">
        <x:f>IF(G20&lt;&gt;"Đầy đủ","Cần bổ sung",IF(H20="","Thiếu bằng chứng",IF(OR(I20="",NOT(ISNUMBER(J20))),"Chờ xác nhận","Đủ hồ sơ theo khai báo")))</x:f>
        <x:v>Cần bổ sung</x:v>
      </x:c>
    </x:row>
    <x:row r="21" ht="98" customHeight="1">
      <x:c r="A21" s="4" t="str">
        <x:v>HS16</x:v>
      </x:c>
      <x:c r="B21" s="4" t="str">
        <x:v>Hồ sơ vật lý và nhà cung cấp</x:v>
      </x:c>
      <x:c r="C21" s="4" t="str">
        <x:v>TCVN A.4; 6.15</x:v>
      </x:c>
      <x:c r="D21" s="4" t="str">
        <x:v>Hợp đồng, SLA, trách nhiệm, điện/UPS/PCCC/ra vào/camera; xác minh phạm vi chứng chỉ.</x:v>
      </x:c>
      <x:c r="E21" s="4" t="str">
        <x:v>Hồ sơ riêng hai IDC</x:v>
      </x:c>
      <x:c r="F21" s="4" t="str">
        <x:v>IDC và mua sắm</x:v>
      </x:c>
      <x:c r="G21" s="9" t="str">
        <x:v>Chưa đủ</x:v>
      </x:c>
      <x:c r="H21" s="9" t="str"/>
      <x:c r="I21" s="9" t="str"/>
      <x:c r="J21" s="10"/>
      <x:c r="K21" s="9" t="str"/>
      <x:c r="L21" s="10"/>
      <x:c r="M21" s="4" t="str">
        <x:f>IF(G21&lt;&gt;"Đầy đủ","Cần bổ sung",IF(H21="","Thiếu bằng chứng",IF(OR(I21="",NOT(ISNUMBER(J21))),"Chờ xác nhận","Đủ hồ sơ theo khai báo")))</x:f>
        <x:v>Cần bổ sung</x:v>
      </x:c>
    </x:row>
    <x:row r="22" ht="98" customHeight="1">
      <x:c r="A22" s="8" t="str">
        <x:v>HS17</x:v>
      </x:c>
      <x:c r="B22" s="8" t="str">
        <x:v>Công bố thông tin sau phê duyệt</x:v>
      </x:c>
      <x:c r="C22" s="8" t="str">
        <x:v>Mẫu quản trị nội bộ</x:v>
      </x:c>
      <x:c r="D22" s="8" t="str">
        <x:v>Chỉ công bố đúng quyết định, phạm vi và kết quả; rà thông tin nhạy cảm trước phát hành.</x:v>
      </x:c>
      <x:c r="E22" s="8" t="str">
        <x:v>09 mục A</x:v>
      </x:c>
      <x:c r="F22" s="8" t="str">
        <x:v>Chủ quản và pháp chế</x:v>
      </x:c>
      <x:c r="G22" s="9" t="str">
        <x:v>Chưa đủ</x:v>
      </x:c>
      <x:c r="H22" s="9" t="str"/>
      <x:c r="I22" s="9" t="str"/>
      <x:c r="J22" s="10"/>
      <x:c r="K22" s="9" t="str"/>
      <x:c r="L22" s="10"/>
      <x:c r="M22" s="8" t="str">
        <x:f>IF(G22&lt;&gt;"Đầy đủ","Cần bổ sung",IF(H22="","Thiếu bằng chứng",IF(OR(I22="",NOT(ISNUMBER(J22))),"Chờ xác nhận","Đủ hồ sơ theo khai báo")))</x:f>
        <x:v>Cần bổ sung</x:v>
      </x:c>
    </x:row>
    <x:row r="23" ht="98" customHeight="1">
      <x:c r="A23" s="4" t="str">
        <x:v>HS18</x:v>
      </x:c>
      <x:c r="B23" s="4" t="str">
        <x:v>Đề nghị đánh giá sự phù hợp nếu có nhu cầu</x:v>
      </x:c>
      <x:c r="C23" s="4" t="str">
        <x:v>Tuyến đánh giá riêng cần xác nhận</x:v>
      </x:c>
      <x:c r="D23" s="4" t="str">
        <x:v>Chốt tiêu chuẩn/phiên bản, đối tượng, phạm vi, phương thức và thẩm quyền tổ chức đánh giá; không gọi là thủ tục cấp độ tự động.</x:v>
      </x:c>
      <x:c r="E23" s="4" t="str">
        <x:v>09 mục B</x:v>
      </x:c>
      <x:c r="F23" s="4" t="str">
        <x:v>GRC</x:v>
      </x:c>
      <x:c r="G23" s="9" t="str">
        <x:v>Chưa đủ</x:v>
      </x:c>
      <x:c r="H23" s="9" t="str"/>
      <x:c r="I23" s="9" t="str"/>
      <x:c r="J23" s="10"/>
      <x:c r="K23" s="9" t="str"/>
      <x:c r="L23" s="10"/>
      <x:c r="M23" s="4" t="str">
        <x:f>IF(G23&lt;&gt;"Đầy đủ","Cần bổ sung",IF(H23="","Thiếu bằng chứng",IF(OR(I23="",NOT(ISNUMBER(J23))),"Chờ xác nhận","Đủ hồ sơ theo khai báo")))</x:f>
        <x:v>Cần bổ sung</x:v>
      </x:c>
    </x:row>
  </x:sheetData>
  <x:conditionalFormatting sqref="M6:M23">
    <x:cfRule type="containsText" dxfId="16" priority="1" operator="containsText" text="Đủ hồ sơ kiểm tra"/>
    <x:cfRule type="containsText" dxfId="17" priority="2" operator="containsText" text="Đủ hồ sơ theo khai báo"/>
    <x:cfRule type="containsText" dxfId="18" priority="3" operator="containsText" text="Cần khắc phục"/>
    <x:cfRule type="containsText" dxfId="19" priority="4" operator="containsText" text="Chưa đủ bằng chứng"/>
    <x:cfRule type="containsText" dxfId="20" priority="5" operator="containsText" text="Thiếu bằng chứng"/>
    <x:cfRule type="containsText" dxfId="21" priority="6" operator="containsText" text="Chờ duyệt không áp dụng"/>
    <x:cfRule type="containsText" dxfId="22" priority="7" operator="containsText" text="Không áp dụng đã duyệt"/>
  </x:conditionalFormatting>
  <x:dataValidations count="1">
    <x:dataValidation type="list" sqref="G6:G23">
      <x:formula1>"Chưa đủ,Một phần,Đầy đủ"</x:formula1>
    </x:dataValidation>
  </x:dataValidations>
  <x:pageMargins left="0.7" right="0.7" top="0.75" bottom="0.75" header="0.3" footer="0.3"/>
  <x:tableParts count="1">
    <x:tablePart xmlns:r="http://schemas.openxmlformats.org/officeDocument/2006/relationships" r:id="R3201a8c592ca40d8"/>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0" hidden="0" customWidth="1"/>
    <x:col min="3" max="3" width="26" hidden="0" customWidth="1"/>
    <x:col min="4" max="4" width="25" hidden="0" customWidth="1"/>
    <x:col min="5" max="5" width="48" hidden="0" customWidth="1"/>
    <x:col min="6" max="6" width="68" hidden="0" customWidth="1"/>
    <x:col min="7" max="7" width="58" hidden="0" customWidth="1"/>
    <x:col min="8" max="8" width="46" hidden="0" customWidth="1"/>
    <x:col min="9" max="9" width="48" hidden="0" customWidth="1"/>
    <x:col min="10" max="10" width="22" hidden="0" customWidth="1"/>
    <x:col min="11" max="11" width="18" hidden="0" customWidth="1"/>
    <x:col min="12" max="12" width="24" hidden="0" customWidth="1"/>
    <x:col min="13" max="13" width="42" hidden="0" customWidth="1"/>
    <x:col min="14" max="14" width="44" hidden="0" customWidth="1"/>
    <x:col min="15" max="15" width="30" hidden="0" customWidth="1"/>
  </x:cols>
  <x:sheetData>
    <x:row r="1">
      <x:c r="A1" s="1"/>
      <x:c r="B1" s="1"/>
      <x:c r="C1" s="1"/>
      <x:c r="D1" s="1"/>
      <x:c r="E1" s="1"/>
      <x:c r="F1" s="1"/>
      <x:c r="G1" s="1"/>
      <x:c r="H1" s="1"/>
      <x:c r="I1" s="1"/>
      <x:c r="J1" s="1"/>
      <x:c r="K1" s="1"/>
      <x:c r="L1" s="1"/>
      <x:c r="M1" s="1"/>
      <x:c r="N1" s="1"/>
      <x:c r="O1" s="1"/>
    </x:row>
    <x:row r="2">
      <x:c r="A2" s="2" t="str">
        <x:v>Kế hoạch và kết quả kiểm thử</x:v>
      </x:c>
      <x:c r="B2" s="1"/>
      <x:c r="C2" s="1"/>
      <x:c r="D2" s="1"/>
      <x:c r="E2" s="1"/>
      <x:c r="F2" s="1"/>
      <x:c r="G2" s="1"/>
      <x:c r="H2" s="1"/>
      <x:c r="I2" s="1"/>
      <x:c r="J2" s="1"/>
      <x:c r="K2" s="1"/>
      <x:c r="L2" s="1"/>
      <x:c r="M2" s="1"/>
      <x:c r="N2" s="1"/>
      <x:c r="O2" s="1"/>
    </x:row>
    <x:row r="3">
      <x:c r="A3" s="1"/>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40" customHeight="1">
      <x:c r="A5" s="7" t="str">
        <x:v>Mã</x:v>
      </x:c>
      <x:c r="B5" s="7" t="str">
        <x:v>Kịch bản</x:v>
      </x:c>
      <x:c r="C5" s="7" t="str">
        <x:v>Căn cứ</x:v>
      </x:c>
      <x:c r="D5" s="7" t="str">
        <x:v>Đầu mối</x:v>
      </x:c>
      <x:c r="E5" s="7" t="str">
        <x:v>Điều kiện trước thử</x:v>
      </x:c>
      <x:c r="F5" s="7" t="str">
        <x:v>Các bước</x:v>
      </x:c>
      <x:c r="G5" s="7" t="str">
        <x:v>Tiêu chí chấp nhận</x:v>
      </x:c>
      <x:c r="H5" s="7" t="str">
        <x:v>Bằng chứng cần lưu</x:v>
      </x:c>
      <x:c r="I5" s="7" t="str">
        <x:v>Kết quả thực tế và số đo</x:v>
      </x:c>
      <x:c r="J5" s="7" t="str">
        <x:v>Kết luận</x:v>
      </x:c>
      <x:c r="K5" s="7" t="str">
        <x:v>Ngày thực hiện</x:v>
      </x:c>
      <x:c r="L5" s="7" t="str">
        <x:v>Người xác nhận</x:v>
      </x:c>
      <x:c r="M5" s="7" t="str">
        <x:v>Mã hoặc đường dẫn bằng chứng</x:v>
      </x:c>
      <x:c r="N5" s="7" t="str">
        <x:v>Phát hiện và retest</x:v>
      </x:c>
      <x:c r="O5" s="7" t="str">
        <x:v>Trạng thái</x:v>
      </x:c>
    </x:row>
    <x:row r="6" ht="142" customHeight="1">
      <x:c r="A6" s="8" t="str">
        <x:v>T01</x:v>
      </x:c>
      <x:c r="B6" s="8" t="str">
        <x:v>Phân vùng và công khai dịch vụ</x:v>
      </x:c>
      <x:c r="C6" s="8" t="str">
        <x:v>6.12.2.2–6.12.2.6</x:v>
      </x:c>
      <x:c r="D6" s="8" t="str">
        <x:v>Network</x:v>
      </x:c>
      <x:c r="E6" s="8" t="str">
        <x:v>Danh mục IP/FQDN, luồng và cửa sổ thử đã duyệt.</x:v>
      </x:c>
      <x:c r="F6" s="8" t="str">
        <x:v>Kiểm kê endpoint từ ngoài và từ tenant; thử luồng được phép, luồng cấm, origin bypass WAF và Internet từ mạng quản trị.</x:v>
      </x:c>
      <x:c r="G6" s="8" t="str">
        <x:v>Chỉ có endpoint/luồng được duyệt; quản trị, DB, OOB không lộ; chặn truy cập sai vùng.</x:v>
      </x:c>
      <x:c r="H6" s="8" t="str">
        <x:v>Rule export; log cho phép/từ chối; ảnh kết quả; phạm vi thử.</x:v>
      </x:c>
      <x:c r="I6" s="9" t="str"/>
      <x:c r="J6" s="9" t="str">
        <x:v>Chưa thực hiện</x:v>
      </x:c>
      <x:c r="K6" s="10"/>
      <x:c r="L6" s="9" t="str"/>
      <x:c r="M6" s="9" t="str"/>
      <x:c r="N6" s="9" t="str"/>
      <x:c r="O6" s="8" t="str">
        <x:f>IF(J6="Không đạt","Cần khắc phục",IF(J6&lt;&gt;"Đạt","Chưa kiểm tra",IF(OR(I6="",L6="",M6="",NOT(ISNUMBER(K6))),"Thiếu bằng chứng","Đủ hồ sơ kiểm tra")))</x:f>
        <x:v>Chưa kiểm tra</x:v>
      </x:c>
    </x:row>
    <x:row r="7" ht="142" customHeight="1">
      <x:c r="A7" s="4" t="str">
        <x:v>T02</x:v>
      </x:c>
      <x:c r="B7" s="4" t="str">
        <x:v>Cách ly tenant</x:v>
      </x:c>
      <x:c r="C7" s="4" t="str">
        <x:v>6.4.2.3; 6.12</x:v>
      </x:c>
      <x:c r="D7" s="4" t="str">
        <x:v>Platform và Network</x:v>
      </x:c>
      <x:c r="E7" s="4" t="str">
        <x:v>Hai project và dữ liệu giả lập, tài khoản phân quyền rõ.</x:v>
      </x:c>
      <x:c r="F7" s="4" t="str">
        <x:v>Thử API/list/read/write, metadata, console, attach/snapshot/restore, object ACL và traffic từ A tới B; ghi từng trường hợp.</x:v>
      </x:c>
      <x:c r="G7" s="4" t="str">
        <x:v>Không đọc, sửa hoặc quản trị chéo tenant; không thấy dữ liệu dư khi cấp lại tài nguyên.</x:v>
      </x:c>
      <x:c r="H7" s="4" t="str">
        <x:v>Request ID; log; cấu hình; biên bản từng bề mặt.</x:v>
      </x:c>
      <x:c r="I7" s="9" t="str"/>
      <x:c r="J7" s="9" t="str">
        <x:v>Chưa thực hiện</x:v>
      </x:c>
      <x:c r="K7" s="10"/>
      <x:c r="L7" s="9" t="str"/>
      <x:c r="M7" s="9" t="str"/>
      <x:c r="N7" s="9" t="str"/>
      <x:c r="O7" s="4" t="str">
        <x:f>IF(J7="Không đạt","Cần khắc phục",IF(J7&lt;&gt;"Đạt","Chưa kiểm tra",IF(OR(I7="",L7="",M7="",NOT(ISNUMBER(K7))),"Thiếu bằng chứng","Đủ hồ sơ kiểm tra")))</x:f>
        <x:v>Chưa kiểm tra</x:v>
      </x:c>
    </x:row>
    <x:row r="8" ht="142" customHeight="1">
      <x:c r="A8" s="8" t="str">
        <x:v>T03</x:v>
      </x:c>
      <x:c r="B8" s="8" t="str">
        <x:v>MFA và đặc quyền</x:v>
      </x:c>
      <x:c r="C8" s="8" t="str">
        <x:v>6.6; 6.12.2.5</x:v>
      </x:c>
      <x:c r="D8" s="8" t="str">
        <x:v>IAM</x:v>
      </x:c>
      <x:c r="E8" s="8" t="str">
        <x:v>Tài khoản thử, ticket và tài khoản khẩn cấp trong phạm vi.</x:v>
      </x:c>
      <x:c r="F8" s="8" t="str">
        <x:v>Thử thiếu MFA, thiết bị lạ, quyền hết hạn, bỏ qua PAM; thử cấp/thu hồi; kiểm tra một phiên khẩn cấp.</x:v>
      </x:c>
      <x:c r="G8" s="8" t="str">
        <x:v>Đúng người/đích/thời hạn; phiên truy vết được; các đường bị cấm bị chặn; khẩn cấp được hậu kiểm.</x:v>
      </x:c>
      <x:c r="H8" s="8" t="str">
        <x:v>Policy; log IdP/VPN/PAM; ticket; bản ghi phiên.</x:v>
      </x:c>
      <x:c r="I8" s="9" t="str"/>
      <x:c r="J8" s="9" t="str">
        <x:v>Chưa thực hiện</x:v>
      </x:c>
      <x:c r="K8" s="10"/>
      <x:c r="L8" s="9" t="str"/>
      <x:c r="M8" s="9" t="str"/>
      <x:c r="N8" s="9" t="str"/>
      <x:c r="O8" s="8" t="str">
        <x:f>IF(J8="Không đạt","Cần khắc phục",IF(J8&lt;&gt;"Đạt","Chưa kiểm tra",IF(OR(I8="",L8="",M8="",NOT(ISNUMBER(K8))),"Thiếu bằng chứng","Đủ hồ sơ kiểm tra")))</x:f>
        <x:v>Chưa kiểm tra</x:v>
      </x:c>
    </x:row>
    <x:row r="9" ht="142" customHeight="1">
      <x:c r="A9" s="4" t="str">
        <x:v>T04</x:v>
      </x:c>
      <x:c r="B9" s="4" t="str">
        <x:v>Dữ liệu và khóa</x:v>
      </x:c>
      <x:c r="C9" s="4" t="str">
        <x:v>6.4.2.4–6.4.2.10</x:v>
      </x:c>
      <x:c r="D9" s="4" t="str">
        <x:v>Quản trị khóa</x:v>
      </x:c>
      <x:c r="E9" s="4" t="str">
        <x:v>Dữ liệu thử, bản sao khóa và phương án quay lại được duyệt.</x:v>
      </x:c>
      <x:c r="F9" s="4" t="str">
        <x:v>Kiểm tra mã hóa lưu/truyền; hai lớp hoặc tương đương; thử sai quyền giải mã, luân chuyển/thu hồi/restore khóa và xác minh chữ ký.</x:v>
      </x:c>
      <x:c r="G9" s="4" t="str">
        <x:v>Dữ liệu và khóa được bảo vệ theo phân loại; không có quyền giải mã ngoài ma trận; khôi phục không mất khả năng đọc.</x:v>
      </x:c>
      <x:c r="H9" s="4" t="str">
        <x:v>Cấu hình; log KMS; biên bản kiểm tra; không chụp khóa/bí mật.</x:v>
      </x:c>
      <x:c r="I9" s="9" t="str"/>
      <x:c r="J9" s="9" t="str">
        <x:v>Chưa thực hiện</x:v>
      </x:c>
      <x:c r="K9" s="10"/>
      <x:c r="L9" s="9" t="str"/>
      <x:c r="M9" s="9" t="str"/>
      <x:c r="N9" s="9" t="str"/>
      <x:c r="O9" s="4" t="str">
        <x:f>IF(J9="Không đạt","Cần khắc phục",IF(J9&lt;&gt;"Đạt","Chưa kiểm tra",IF(OR(I9="",L9="",M9="",NOT(ISNUMBER(K9))),"Thiếu bằng chứng","Đủ hồ sơ kiểm tra")))</x:f>
        <x:v>Chưa kiểm tra</x:v>
      </x:c>
    </x:row>
    <x:row r="10" ht="142" customHeight="1">
      <x:c r="A10" s="8" t="str">
        <x:v>T05</x:v>
      </x:c>
      <x:c r="B10" s="8" t="str">
        <x:v>Nhật ký và cảnh báo</x:v>
      </x:c>
      <x:c r="C10" s="8" t="str">
        <x:v>6.8; 6.13</x:v>
      </x:c>
      <x:c r="D10" s="8" t="str">
        <x:v>SOC</x:v>
      </x:c>
      <x:c r="E10" s="8" t="str">
        <x:v>Ma trận nguồn log, tài khoản thử, truy cập kho theo quyền.</x:v>
      </x:c>
      <x:c r="F10" s="8" t="str">
        <x:v>Tạo mỗi loại sự kiện; tìm actor/tenant/thời gian; ngắt nguồn thử; kiểm tra lưu giữ đủ 6 tháng và thử sửa/xóa log bằng quyền cloud admin.</x:v>
      </x:c>
      <x:c r="G10" s="8" t="str">
        <x:v>Đủ trường và nguồn; có cảnh báo mất nguồn; kho tách vùng; bảo vệ sửa/xóa hoạt động; retention được chứng minh.</x:v>
      </x:c>
      <x:c r="H10" s="8" t="str">
        <x:v>Mẫu log đã che dữ liệu; truy vấn theo mốc; ticket ngoài giờ.</x:v>
      </x:c>
      <x:c r="I10" s="9" t="str"/>
      <x:c r="J10" s="9" t="str">
        <x:v>Chưa thực hiện</x:v>
      </x:c>
      <x:c r="K10" s="10"/>
      <x:c r="L10" s="9" t="str"/>
      <x:c r="M10" s="9" t="str"/>
      <x:c r="N10" s="9" t="str"/>
      <x:c r="O10" s="8" t="str">
        <x:f>IF(J10="Không đạt","Cần khắc phục",IF(J10&lt;&gt;"Đạt","Chưa kiểm tra",IF(OR(I10="",L10="",M10="",NOT(ISNUMBER(K10))),"Thiếu bằng chứng","Đủ hồ sơ kiểm tra")))</x:f>
        <x:v>Chưa kiểm tra</x:v>
      </x:c>
    </x:row>
    <x:row r="11" ht="142" customHeight="1">
      <x:c r="A11" s="4" t="str">
        <x:v>T06</x:v>
      </x:c>
      <x:c r="B11" s="4" t="str">
        <x:v>EDR và DLP</x:v>
      </x:c>
      <x:c r="C11" s="4" t="str">
        <x:v>6.4.2.8; 6.10</x:v>
      </x:c>
      <x:c r="D11" s="4" t="str">
        <x:v>SecOps</x:v>
      </x:c>
      <x:c r="E11" s="4" t="str">
        <x:v>Mẫu thử an toàn của sản phẩm; máy/tệp giả lập.</x:v>
      </x:c>
      <x:c r="F11" s="4" t="str">
        <x:v>Thử phát hiện hành vi và kênh thất thoát áp dụng; kiểm tra gửi SIEM, cô lập, hoàn tác và tương thích ứng dụng.</x:v>
      </x:c>
      <x:c r="G11" s="4" t="str">
        <x:v>Phát hiện/chặn theo chính sách; có người xử lý; không gây tác động ngoài phạm vi.</x:v>
      </x:c>
      <x:c r="H11" s="4" t="str">
        <x:v>Agent state; cảnh báo; ticket; biên bản xử lý.</x:v>
      </x:c>
      <x:c r="I11" s="9" t="str"/>
      <x:c r="J11" s="9" t="str">
        <x:v>Chưa thực hiện</x:v>
      </x:c>
      <x:c r="K11" s="10"/>
      <x:c r="L11" s="9" t="str"/>
      <x:c r="M11" s="9" t="str"/>
      <x:c r="N11" s="9" t="str"/>
      <x:c r="O11" s="4" t="str">
        <x:f>IF(J11="Không đạt","Cần khắc phục",IF(J11&lt;&gt;"Đạt","Chưa kiểm tra",IF(OR(I11="",L11="",M11="",NOT(ISNUMBER(K11))),"Thiếu bằng chứng","Đủ hồ sơ kiểm tra")))</x:f>
        <x:v>Chưa kiểm tra</x:v>
      </x:c>
    </x:row>
    <x:row r="12" ht="142" customHeight="1">
      <x:c r="A12" s="8" t="str">
        <x:v>T07</x:v>
      </x:c>
      <x:c r="B12" s="8" t="str">
        <x:v>Lỗi thành phần HA</x:v>
      </x:c>
      <x:c r="C12" s="8" t="str">
        <x:v>6.12.2.2</x:v>
      </x:c>
      <x:c r="D12" s="8" t="str">
        <x:v>Hạ tầng và Platform</x:v>
      </x:c>
      <x:c r="E12" s="8" t="str">
        <x:v>Kế hoạch bảo trì, ngưỡng chấp nhận, tải thử và rollback.</x:v>
      </x:c>
      <x:c r="F12" s="8" t="str">
        <x:v>Lần lượt thử mất controller, compute, storage node, NIC, FW/LB, ISP theo thiết kế; đo và xác minh dữ liệu.</x:v>
      </x:c>
      <x:c r="G12" s="8" t="str">
        <x:v>Đạt ngưỡng đã phê duyệt; không mất nhất quán; đủ năng lực còn lại và không phát sinh điểm lỗi đơn chưa kiểm soát.</x:v>
      </x:c>
      <x:c r="H12" s="8" t="str">
        <x:v>Timeline; metrics; cluster log; kiểm tra dữ liệu.</x:v>
      </x:c>
      <x:c r="I12" s="9" t="str"/>
      <x:c r="J12" s="9" t="str">
        <x:v>Chưa thực hiện</x:v>
      </x:c>
      <x:c r="K12" s="10"/>
      <x:c r="L12" s="9" t="str"/>
      <x:c r="M12" s="9" t="str"/>
      <x:c r="N12" s="9" t="str"/>
      <x:c r="O12" s="8" t="str">
        <x:f>IF(J12="Không đạt","Cần khắc phục",IF(J12&lt;&gt;"Đạt","Chưa kiểm tra",IF(OR(I12="",L12="",M12="",NOT(ISNUMBER(K12))),"Thiếu bằng chứng","Đủ hồ sơ kiểm tra")))</x:f>
        <x:v>Chưa kiểm tra</x:v>
      </x:c>
    </x:row>
    <x:row r="13" ht="142" customHeight="1">
      <x:c r="A13" s="4" t="str">
        <x:v>T08</x:v>
      </x:c>
      <x:c r="B13" s="4" t="str">
        <x:v>Sao lưu và restore</x:v>
      </x:c>
      <x:c r="C13" s="4" t="str">
        <x:v>6.11.2.1–6.11.2.5</x:v>
      </x:c>
      <x:c r="D13" s="4" t="str">
        <x:v>Backup</x:v>
      </x:c>
      <x:c r="E13" s="4" t="str">
        <x:v>Kho restore cô lập, catalog dữ liệu và khóa cần thiết.</x:v>
      </x:c>
      <x:c r="F13" s="4" t="str">
        <x:v>Chọn bản sao VM/DB/config/khóa; thử truy cập/xóa theo vai trò; restore và kiểm tra checksum, đăng nhập, dữ liệu nghiệp vụ.</x:v>
      </x:c>
      <x:c r="G13" s="4" t="str">
        <x:v>Bản sao độc lập khôi phục được; kiểm tra bất biến nếu thiết kế dùng; thời gian và dữ liệu mất nằm trong chỉ tiêu đã chốt.</x:v>
      </x:c>
      <x:c r="H13" s="4" t="str">
        <x:v>Job ID; bản sao được chọn; log; checksum; số đo.</x:v>
      </x:c>
      <x:c r="I13" s="9" t="str"/>
      <x:c r="J13" s="9" t="str">
        <x:v>Chưa thực hiện</x:v>
      </x:c>
      <x:c r="K13" s="10"/>
      <x:c r="L13" s="9" t="str"/>
      <x:c r="M13" s="9" t="str"/>
      <x:c r="N13" s="9" t="str"/>
      <x:c r="O13" s="4" t="str">
        <x:f>IF(J13="Không đạt","Cần khắc phục",IF(J13&lt;&gt;"Đạt","Chưa kiểm tra",IF(OR(I13="",L13="",M13="",NOT(ISNUMBER(K13))),"Thiếu bằng chứng","Đủ hồ sơ kiểm tra")))</x:f>
        <x:v>Chưa kiểm tra</x:v>
      </x:c>
    </x:row>
    <x:row r="14" ht="142" customHeight="1">
      <x:c r="A14" s="8" t="str">
        <x:v>T09</x:v>
      </x:c>
      <x:c r="B14" s="8" t="str">
        <x:v>Mất DC và chuyển về</x:v>
      </x:c>
      <x:c r="C14" s="8" t="str">
        <x:v>BIA; 6.11; 6.12</x:v>
      </x:c>
      <x:c r="D14" s="8" t="str">
        <x:v>Chỉ huy DR</x:v>
      </x:c>
      <x:c r="E14" s="8" t="str">
        <x:v>BIA/RPO/RTO đã duyệt, cửa sổ thử, kênh phối hợp và rollback.</x:v>
      </x:c>
      <x:c r="F14" s="8" t="str">
        <x:v>Xác nhận replica; cô lập nguồn ghi DC; kích hoạt DR cùng IAM/DNS/KMS; thử nghiệp vụ; đồng bộ và chuyển về theo runbook.</x:v>
      </x:c>
      <x:c r="G14" s="8" t="str">
        <x:v>Đạt RPO/RTO từng dịch vụ; không dual writer; đủ công suất; failback được kiểm chứng.</x:v>
      </x:c>
      <x:c r="H14" s="8" t="str">
        <x:v>Timeline; fencing log; lag; đối soát DB; phê duyệt chuyển đổi.</x:v>
      </x:c>
      <x:c r="I14" s="9" t="str"/>
      <x:c r="J14" s="9" t="str">
        <x:v>Chưa thực hiện</x:v>
      </x:c>
      <x:c r="K14" s="10"/>
      <x:c r="L14" s="9" t="str"/>
      <x:c r="M14" s="9" t="str"/>
      <x:c r="N14" s="9" t="str"/>
      <x:c r="O14" s="8" t="str">
        <x:f>IF(J14="Không đạt","Cần khắc phục",IF(J14&lt;&gt;"Đạt","Chưa kiểm tra",IF(OR(I14="",L14="",M14="",NOT(ISNUMBER(K14))),"Thiếu bằng chứng","Đủ hồ sơ kiểm tra")))</x:f>
        <x:v>Chưa kiểm tra</x:v>
      </x:c>
    </x:row>
    <x:row r="15" ht="142" customHeight="1">
      <x:c r="A15" s="4" t="str">
        <x:v>T10</x:v>
      </x:c>
      <x:c r="B15" s="4" t="str">
        <x:v>Khởi động nguội</x:v>
      </x:c>
      <x:c r="C15" s="4" t="str">
        <x:v>Thiết kế XOR; tham khảo dự thảo 5.3.9</x:v>
      </x:c>
      <x:c r="D15" s="4" t="str">
        <x:v>Platform</x:v>
      </x:c>
      <x:c r="E15" s="4" t="str">
        <x:v>Môi trường khôi phục riêng; tài liệu và bí mật khẩn cấp có thể tiếp cận.</x:v>
      </x:c>
      <x:c r="F15" s="4" t="str">
        <x:v>Giả lập dừng toàn nền tảng; lần lượt dựng dịch vụ theo dependency; không dùng bí mật chỉ nằm trên hệ thống đang dừng.</x:v>
      </x:c>
      <x:c r="G15" s="4" t="str">
        <x:v>Dựng lại được control plane và dịch vụ mẫu; phát hiện/xử lý mọi vòng phụ thuộc.</x:v>
      </x:c>
      <x:c r="H15" s="4" t="str">
        <x:v>Dependency map; thứ tự bước; log; biên bản truy cập khẩn cấp.</x:v>
      </x:c>
      <x:c r="I15" s="9" t="str"/>
      <x:c r="J15" s="9" t="str">
        <x:v>Chưa thực hiện</x:v>
      </x:c>
      <x:c r="K15" s="10"/>
      <x:c r="L15" s="9" t="str"/>
      <x:c r="M15" s="9" t="str"/>
      <x:c r="N15" s="9" t="str"/>
      <x:c r="O15" s="4" t="str">
        <x:f>IF(J15="Không đạt","Cần khắc phục",IF(J15&lt;&gt;"Đạt","Chưa kiểm tra",IF(OR(I15="",L15="",M15="",NOT(ISNUMBER(K15))),"Thiếu bằng chứng","Đủ hồ sơ kiểm tra")))</x:f>
        <x:v>Chưa kiểm tra</x:v>
      </x:c>
    </x:row>
    <x:row r="16" ht="142" customHeight="1">
      <x:c r="A16" s="8" t="str">
        <x:v>T11</x:v>
      </x:c>
      <x:c r="B16" s="8" t="str">
        <x:v>Phát hành an toàn</x:v>
      </x:c>
      <x:c r="C16" s="8" t="str">
        <x:v>6.16</x:v>
      </x:c>
      <x:c r="D16" s="8" t="str">
        <x:v>DevSecOps</x:v>
      </x:c>
      <x:c r="E16" s="8" t="str">
        <x:v>Pipeline thử, artifact đúng/sai chữ ký và bản rollback.</x:v>
      </x:c>
      <x:c r="F16" s="8" t="str">
        <x:v>Thử image chưa duyệt/sai digest, secret scan, quyền runner dev; phát hành bản hợp lệ rồi hoàn tác.</x:v>
      </x:c>
      <x:c r="G16" s="8" t="str">
        <x:v>Gate từ chối bản không đạt; bản được duyệt truy nguyên được; rollback thành công.</x:v>
      </x:c>
      <x:c r="H16" s="8" t="str">
        <x:v>Pipeline run; review; SAST/SCA; digest; biên bản rollback.</x:v>
      </x:c>
      <x:c r="I16" s="9" t="str"/>
      <x:c r="J16" s="9" t="str">
        <x:v>Chưa thực hiện</x:v>
      </x:c>
      <x:c r="K16" s="10"/>
      <x:c r="L16" s="9" t="str"/>
      <x:c r="M16" s="9" t="str"/>
      <x:c r="N16" s="9" t="str"/>
      <x:c r="O16" s="8" t="str">
        <x:f>IF(J16="Không đạt","Cần khắc phục",IF(J16&lt;&gt;"Đạt","Chưa kiểm tra",IF(OR(I16="",L16="",M16="",NOT(ISNUMBER(K16))),"Thiếu bằng chứng","Đủ hồ sơ kiểm tra")))</x:f>
        <x:v>Chưa kiểm tra</x:v>
      </x:c>
    </x:row>
    <x:row r="17" ht="142" customHeight="1">
      <x:c r="A17" s="4" t="str">
        <x:v>T12</x:v>
      </x:c>
      <x:c r="B17" s="4" t="str">
        <x:v>Pentest và đánh giá độc lập</x:v>
      </x:c>
      <x:c r="C17" s="4" t="str">
        <x:v>6.18; 6.12.2.7</x:v>
      </x:c>
      <x:c r="D17" s="4" t="str">
        <x:v>Đơn vị đánh giá</x:v>
      </x:c>
      <x:c r="E17" s="4" t="str">
        <x:v>ROE ký, phạm vi IP/tenant, lịch, dữ liệu và điều kiện dừng.</x:v>
      </x:c>
      <x:c r="F17" s="4" t="str">
        <x:v>Kiểm thử từ ngoài và trong; kiểm tra quyền nội bộ/cách ly; lập phát hiện; xử lý và retest; ghi giới hạn phương pháp.</x:v>
      </x:c>
      <x:c r="G17" s="4" t="str">
        <x:v>Kết luận theo tiêu chí và phạm vi đã phê duyệt; phát hiện được xử lý hoặc quản lý đúng thẩm quyền; không tự đánh dấu đạt khi thiếu retest.</x:v>
      </x:c>
      <x:c r="H17" s="4" t="str">
        <x:v>Báo cáo ký; ROE; ticket; retest; ý kiến nghiệm thu.</x:v>
      </x:c>
      <x:c r="I17" s="9" t="str"/>
      <x:c r="J17" s="9" t="str">
        <x:v>Chưa thực hiện</x:v>
      </x:c>
      <x:c r="K17" s="10"/>
      <x:c r="L17" s="9" t="str"/>
      <x:c r="M17" s="9" t="str"/>
      <x:c r="N17" s="9" t="str"/>
      <x:c r="O17" s="4" t="str">
        <x:f>IF(J17="Không đạt","Cần khắc phục",IF(J17&lt;&gt;"Đạt","Chưa kiểm tra",IF(OR(I17="",L17="",M17="",NOT(ISNUMBER(K17))),"Thiếu bằng chứng","Đủ hồ sơ kiểm tra")))</x:f>
        <x:v>Chưa kiểm tra</x:v>
      </x:c>
    </x:row>
  </x:sheetData>
  <x:conditionalFormatting sqref="O6:O17">
    <x:cfRule type="containsText" dxfId="23" priority="1" operator="containsText" text="Đủ hồ sơ kiểm tra"/>
    <x:cfRule type="containsText" dxfId="24" priority="2" operator="containsText" text="Đủ hồ sơ theo khai báo"/>
    <x:cfRule type="containsText" dxfId="25" priority="3" operator="containsText" text="Cần khắc phục"/>
    <x:cfRule type="containsText" dxfId="26" priority="4" operator="containsText" text="Chưa đủ bằng chứng"/>
    <x:cfRule type="containsText" dxfId="27" priority="5" operator="containsText" text="Thiếu bằng chứng"/>
    <x:cfRule type="containsText" dxfId="28" priority="6" operator="containsText" text="Chờ duyệt không áp dụng"/>
    <x:cfRule type="containsText" dxfId="29" priority="7" operator="containsText" text="Không áp dụng đã duyệt"/>
  </x:conditionalFormatting>
  <x:dataValidations count="1">
    <x:dataValidation type="list" sqref="J6:J17">
      <x:formula1>"Chưa thực hiện,Đạt,Không đạt"</x:formula1>
    </x:dataValidation>
  </x:dataValidations>
  <x:pageMargins left="0.7" right="0.7" top="0.75" bottom="0.75" header="0.3" footer="0.3"/>
  <x:tableParts count="1">
    <x:tablePart xmlns:r="http://schemas.openxmlformats.org/officeDocument/2006/relationships" r:id="Rd452a7ff13c14c85"/>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0" hidden="0" customWidth="1"/>
    <x:col min="3" max="3" width="48" hidden="0" customWidth="1"/>
    <x:col min="4" max="4" width="36" hidden="0" customWidth="1"/>
    <x:col min="5" max="5" width="25" hidden="0" customWidth="1"/>
    <x:col min="6" max="6" width="30" hidden="0" customWidth="1"/>
    <x:col min="7" max="7" width="48" hidden="0" customWidth="1"/>
    <x:col min="8" max="8" width="18" hidden="0" customWidth="1"/>
    <x:col min="9" max="9" width="18" hidden="0" customWidth="1"/>
    <x:col min="10" max="10" width="18" hidden="0" customWidth="1"/>
    <x:col min="11" max="11" width="20" hidden="0" customWidth="1"/>
    <x:col min="12" max="12" width="22" hidden="0" customWidth="1"/>
    <x:col min="13" max="13" width="45" hidden="0" customWidth="1"/>
    <x:col min="14" max="14" width="42" hidden="0" customWidth="1"/>
    <x:col min="15" max="15" width="35" hidden="0" customWidth="1"/>
  </x:cols>
  <x:sheetData>
    <x:row r="1">
      <x:c r="A1" s="1"/>
      <x:c r="B1" s="1"/>
      <x:c r="C1" s="1"/>
      <x:c r="D1" s="1"/>
      <x:c r="E1" s="1"/>
      <x:c r="F1" s="1"/>
      <x:c r="G1" s="1"/>
      <x:c r="H1" s="1"/>
      <x:c r="I1" s="1"/>
      <x:c r="J1" s="1"/>
      <x:c r="K1" s="1"/>
      <x:c r="L1" s="1"/>
      <x:c r="M1" s="1"/>
      <x:c r="N1" s="1"/>
      <x:c r="O1" s="1"/>
    </x:row>
    <x:row r="2">
      <x:c r="A2" s="2" t="str">
        <x:v>Phân tích tác động và mục tiêu phục hồi</x:v>
      </x:c>
      <x:c r="B2" s="1"/>
      <x:c r="C2" s="1"/>
      <x:c r="D2" s="1"/>
      <x:c r="E2" s="1"/>
      <x:c r="F2" s="1"/>
      <x:c r="G2" s="1"/>
      <x:c r="H2" s="1"/>
      <x:c r="I2" s="1"/>
      <x:c r="J2" s="1"/>
      <x:c r="K2" s="1"/>
      <x:c r="L2" s="1"/>
      <x:c r="M2" s="1"/>
      <x:c r="N2" s="1"/>
      <x:c r="O2" s="1"/>
    </x:row>
    <x:row r="3">
      <x:c r="A3" s="1" t="str">
        <x:v>RPO: mất dữ liệu tối đa; RTO: thời gian phục hồi; MTD: gián đoạn tối đa chấp nhận. Chưa có chỉ tiêu nào được XOR phê duyệt trong bản này.</x:v>
      </x:c>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40" customHeight="1">
      <x:c r="A5" s="7" t="str">
        <x:v>Mã</x:v>
      </x:c>
      <x:c r="B5" s="7" t="str">
        <x:v>Dịch vụ</x:v>
      </x:c>
      <x:c r="C5" s="7" t="str">
        <x:v>Phụ thuộc cần xác minh</x:v>
      </x:c>
      <x:c r="D5" s="7" t="str">
        <x:v>Đối tượng ảnh hưởng</x:v>
      </x:c>
      <x:c r="E5" s="7" t="str">
        <x:v>Chủ dịch vụ</x:v>
      </x:c>
      <x:c r="F5" s="7" t="str">
        <x:v>Loại dữ liệu</x:v>
      </x:c>
      <x:c r="G5" s="7" t="str">
        <x:v>Tác động công cộng xã hội an ninh</x:v>
      </x:c>
      <x:c r="H5" s="7" t="str">
        <x:v>RPO phút</x:v>
      </x:c>
      <x:c r="I5" s="7" t="str">
        <x:v>RTO phút</x:v>
      </x:c>
      <x:c r="J5" s="7" t="str">
        <x:v>MTD phút</x:v>
      </x:c>
      <x:c r="K5" s="7" t="str">
        <x:v>Dung lượng GB</x:v>
      </x:c>
      <x:c r="L5" s="7" t="str">
        <x:v>Thay đổi GB giờ</x:v>
      </x:c>
      <x:c r="M5" s="7" t="str">
        <x:v>Căn cứ và người phê duyệt</x:v>
      </x:c>
      <x:c r="N5" s="7" t="str">
        <x:v>Bằng chứng hoặc hợp đồng</x:v>
      </x:c>
      <x:c r="O5" s="7" t="str">
        <x:v>Trạng thái</x:v>
      </x:c>
    </x:row>
    <x:row r="6" ht="98" customHeight="1">
      <x:c r="A6" s="8" t="str">
        <x:v>DV01</x:v>
      </x:c>
      <x:c r="B6" s="8" t="str">
        <x:v>IAM và quyền quản trị</x:v>
      </x:c>
      <x:c r="C6" s="8" t="str">
        <x:v>IdP, Keystone, MFA, PAM</x:v>
      </x:c>
      <x:c r="D6" s="8" t="str">
        <x:v>Nền tảng và đội vận hành</x:v>
      </x:c>
      <x:c r="E6" s="9" t="str"/>
      <x:c r="F6" s="9" t="str"/>
      <x:c r="G6" s="9" t="str"/>
      <x:c r="H6" s="11"/>
      <x:c r="I6" s="11"/>
      <x:c r="J6" s="11"/>
      <x:c r="K6" s="11"/>
      <x:c r="L6" s="11"/>
      <x:c r="M6" s="9" t="str"/>
      <x:c r="N6" s="9" t="str"/>
      <x:c r="O6" s="8" t="str">
        <x:f>IF(OR(E6="",F6="",G6="",M6="",N6="",NOT(ISNUMBER(H6)),NOT(ISNUMBER(I6)),NOT(ISNUMBER(J6))),"Cần hoàn thiện BIA",IF(OR(H6&lt;0,I6&lt;0,J6&lt;0),"Chỉ tiêu không hợp lệ",IF(I6&gt;J6,"RTO vượt MTD","Đủ đầu vào theo khai báo")))</x:f>
        <x:v>Cần hoàn thiện BIA</x:v>
      </x:c>
    </x:row>
    <x:row r="7" ht="98" customHeight="1">
      <x:c r="A7" s="4" t="str">
        <x:v>DV02</x:v>
      </x:c>
      <x:c r="B7" s="4" t="str">
        <x:v>Khóa và chứng thư</x:v>
      </x:c>
      <x:c r="C7" s="4" t="str">
        <x:v>KMS/HSM, PKI, bản sao khóa</x:v>
      </x:c>
      <x:c r="D7" s="4" t="str">
        <x:v>Mọi dữ liệu cần giải mã</x:v>
      </x:c>
      <x:c r="E7" s="9" t="str"/>
      <x:c r="F7" s="9" t="str"/>
      <x:c r="G7" s="9" t="str"/>
      <x:c r="H7" s="11"/>
      <x:c r="I7" s="11"/>
      <x:c r="J7" s="11"/>
      <x:c r="K7" s="11"/>
      <x:c r="L7" s="11"/>
      <x:c r="M7" s="9" t="str"/>
      <x:c r="N7" s="9" t="str"/>
      <x:c r="O7" s="4" t="str">
        <x:f>IF(OR(E7="",F7="",G7="",M7="",N7="",NOT(ISNUMBER(H7)),NOT(ISNUMBER(I7)),NOT(ISNUMBER(J7))),"Cần hoàn thiện BIA",IF(OR(H7&lt;0,I7&lt;0,J7&lt;0),"Chỉ tiêu không hợp lệ",IF(I7&gt;J7,"RTO vượt MTD","Đủ đầu vào theo khai báo")))</x:f>
        <x:v>Cần hoàn thiện BIA</x:v>
      </x:c>
    </x:row>
    <x:row r="8" ht="98" customHeight="1">
      <x:c r="A8" s="8" t="str">
        <x:v>DV03</x:v>
      </x:c>
      <x:c r="B8" s="8" t="str">
        <x:v>Điều khiển cloud</x:v>
      </x:c>
      <x:c r="C8" s="8" t="str">
        <x:v>API, DB trạng thái, queue, SDN controller</x:v>
      </x:c>
      <x:c r="D8" s="8" t="str">
        <x:v>Tenant và quản trị</x:v>
      </x:c>
      <x:c r="E8" s="9" t="str"/>
      <x:c r="F8" s="9" t="str"/>
      <x:c r="G8" s="9" t="str"/>
      <x:c r="H8" s="11"/>
      <x:c r="I8" s="11"/>
      <x:c r="J8" s="11"/>
      <x:c r="K8" s="11"/>
      <x:c r="L8" s="11"/>
      <x:c r="M8" s="9" t="str"/>
      <x:c r="N8" s="9" t="str"/>
      <x:c r="O8" s="8" t="str">
        <x:f>IF(OR(E8="",F8="",G8="",M8="",N8="",NOT(ISNUMBER(H8)),NOT(ISNUMBER(I8)),NOT(ISNUMBER(J8))),"Cần hoàn thiện BIA",IF(OR(H8&lt;0,I8&lt;0,J8&lt;0),"Chỉ tiêu không hợp lệ",IF(I8&gt;J8,"RTO vượt MTD","Đủ đầu vào theo khai báo")))</x:f>
        <x:v>Cần hoàn thiện BIA</x:v>
      </x:c>
    </x:row>
    <x:row r="9" ht="98" customHeight="1">
      <x:c r="A9" s="4" t="str">
        <x:v>DV04</x:v>
      </x:c>
      <x:c r="B9" s="4" t="str">
        <x:v>Máy ảo và container</x:v>
      </x:c>
      <x:c r="C9" s="4" t="str">
        <x:v>Compute, network, image, storage</x:v>
      </x:c>
      <x:c r="D9" s="4" t="str">
        <x:v>Khách hàng theo hợp đồng</x:v>
      </x:c>
      <x:c r="E9" s="9" t="str"/>
      <x:c r="F9" s="9" t="str"/>
      <x:c r="G9" s="9" t="str"/>
      <x:c r="H9" s="11"/>
      <x:c r="I9" s="11"/>
      <x:c r="J9" s="11"/>
      <x:c r="K9" s="11"/>
      <x:c r="L9" s="11"/>
      <x:c r="M9" s="9" t="str"/>
      <x:c r="N9" s="9" t="str"/>
      <x:c r="O9" s="4" t="str">
        <x:f>IF(OR(E9="",F9="",G9="",M9="",N9="",NOT(ISNUMBER(H9)),NOT(ISNUMBER(I9)),NOT(ISNUMBER(J9))),"Cần hoàn thiện BIA",IF(OR(H9&lt;0,I9&lt;0,J9&lt;0),"Chỉ tiêu không hợp lệ",IF(I9&gt;J9,"RTO vượt MTD","Đủ đầu vào theo khai báo")))</x:f>
        <x:v>Cần hoàn thiện BIA</x:v>
      </x:c>
    </x:row>
    <x:row r="10" ht="98" customHeight="1">
      <x:c r="A10" s="8" t="str">
        <x:v>DV05</x:v>
      </x:c>
      <x:c r="B10" s="8" t="str">
        <x:v>Dữ liệu và lưu trữ</x:v>
      </x:c>
      <x:c r="C10" s="8" t="str">
        <x:v>Block, object, file, DB theo dịch vụ</x:v>
      </x:c>
      <x:c r="D10" s="8" t="str">
        <x:v>Khách hàng và nền tảng</x:v>
      </x:c>
      <x:c r="E10" s="9" t="str"/>
      <x:c r="F10" s="9" t="str"/>
      <x:c r="G10" s="9" t="str"/>
      <x:c r="H10" s="11"/>
      <x:c r="I10" s="11"/>
      <x:c r="J10" s="11"/>
      <x:c r="K10" s="11"/>
      <x:c r="L10" s="11"/>
      <x:c r="M10" s="9" t="str"/>
      <x:c r="N10" s="9" t="str"/>
      <x:c r="O10" s="8" t="str">
        <x:f>IF(OR(E10="",F10="",G10="",M10="",N10="",NOT(ISNUMBER(H10)),NOT(ISNUMBER(I10)),NOT(ISNUMBER(J10))),"Cần hoàn thiện BIA",IF(OR(H10&lt;0,I10&lt;0,J10&lt;0),"Chỉ tiêu không hợp lệ",IF(I10&gt;J10,"RTO vượt MTD","Đủ đầu vào theo khai báo")))</x:f>
        <x:v>Cần hoàn thiện BIA</x:v>
      </x:c>
    </x:row>
    <x:row r="11" ht="98" customHeight="1">
      <x:c r="A11" s="4" t="str">
        <x:v>DV06</x:v>
      </x:c>
      <x:c r="B11" s="4" t="str">
        <x:v>DNS và thời gian</x:v>
      </x:c>
      <x:c r="C11" s="4" t="str">
        <x:v>DNS nội bộ/công khai, NTP</x:v>
      </x:c>
      <x:c r="D11" s="4" t="str">
        <x:v>Toàn nền tảng</x:v>
      </x:c>
      <x:c r="E11" s="9" t="str"/>
      <x:c r="F11" s="9" t="str"/>
      <x:c r="G11" s="9" t="str"/>
      <x:c r="H11" s="11"/>
      <x:c r="I11" s="11"/>
      <x:c r="J11" s="11"/>
      <x:c r="K11" s="11"/>
      <x:c r="L11" s="11"/>
      <x:c r="M11" s="9" t="str"/>
      <x:c r="N11" s="9" t="str"/>
      <x:c r="O11" s="4" t="str">
        <x:f>IF(OR(E11="",F11="",G11="",M11="",N11="",NOT(ISNUMBER(H11)),NOT(ISNUMBER(I11)),NOT(ISNUMBER(J11))),"Cần hoàn thiện BIA",IF(OR(H11&lt;0,I11&lt;0,J11&lt;0),"Chỉ tiêu không hợp lệ",IF(I11&gt;J11,"RTO vượt MTD","Đủ đầu vào theo khai báo")))</x:f>
        <x:v>Cần hoàn thiện BIA</x:v>
      </x:c>
    </x:row>
    <x:row r="12" ht="98" customHeight="1">
      <x:c r="A12" s="8" t="str">
        <x:v>DV07</x:v>
      </x:c>
      <x:c r="B12" s="8" t="str">
        <x:v>SOC và nhật ký</x:v>
      </x:c>
      <x:c r="C12" s="8" t="str">
        <x:v>Collector, SIEM, kho log</x:v>
      </x:c>
      <x:c r="D12" s="8" t="str">
        <x:v>Bảo vệ và điều tra</x:v>
      </x:c>
      <x:c r="E12" s="9" t="str"/>
      <x:c r="F12" s="9" t="str"/>
      <x:c r="G12" s="9" t="str"/>
      <x:c r="H12" s="11"/>
      <x:c r="I12" s="11"/>
      <x:c r="J12" s="11"/>
      <x:c r="K12" s="11"/>
      <x:c r="L12" s="11"/>
      <x:c r="M12" s="9" t="str"/>
      <x:c r="N12" s="9" t="str"/>
      <x:c r="O12" s="8" t="str">
        <x:f>IF(OR(E12="",F12="",G12="",M12="",N12="",NOT(ISNUMBER(H12)),NOT(ISNUMBER(I12)),NOT(ISNUMBER(J12))),"Cần hoàn thiện BIA",IF(OR(H12&lt;0,I12&lt;0,J12&lt;0),"Chỉ tiêu không hợp lệ",IF(I12&gt;J12,"RTO vượt MTD","Đủ đầu vào theo khai báo")))</x:f>
        <x:v>Cần hoàn thiện BIA</x:v>
      </x:c>
    </x:row>
    <x:row r="13" ht="98" customHeight="1">
      <x:c r="A13" s="4" t="str">
        <x:v>DV08</x:v>
      </x:c>
      <x:c r="B13" s="4" t="str">
        <x:v>Sao lưu và DR</x:v>
      </x:c>
      <x:c r="C13" s="4" t="str">
        <x:v>Repository, replication, runbook</x:v>
      </x:c>
      <x:c r="D13" s="4" t="str">
        <x:v>Khôi phục nền tảng và khách hàng</x:v>
      </x:c>
      <x:c r="E13" s="9" t="str"/>
      <x:c r="F13" s="9" t="str"/>
      <x:c r="G13" s="9" t="str"/>
      <x:c r="H13" s="11"/>
      <x:c r="I13" s="11"/>
      <x:c r="J13" s="11"/>
      <x:c r="K13" s="11"/>
      <x:c r="L13" s="11"/>
      <x:c r="M13" s="9" t="str"/>
      <x:c r="N13" s="9" t="str"/>
      <x:c r="O13" s="4" t="str">
        <x:f>IF(OR(E13="",F13="",G13="",M13="",N13="",NOT(ISNUMBER(H13)),NOT(ISNUMBER(I13)),NOT(ISNUMBER(J13))),"Cần hoàn thiện BIA",IF(OR(H13&lt;0,I13&lt;0,J13&lt;0),"Chỉ tiêu không hợp lệ",IF(I13&gt;J13,"RTO vượt MTD","Đủ đầu vào theo khai báo")))</x:f>
        <x:v>Cần hoàn thiện BIA</x:v>
      </x:c>
    </x:row>
    <x:row r="14" ht="98" customHeight="1">
      <x:c r="A14" s="8" t="str">
        <x:v>DV09</x:v>
      </x:c>
      <x:c r="B14" s="8" t="str">
        <x:v>Phát hành XOR</x:v>
      </x:c>
      <x:c r="C14" s="8" t="str">
        <x:v>Git, CI/CD, registry, signing</x:v>
      </x:c>
      <x:c r="D14" s="8" t="str">
        <x:v>Bản vá và nâng cấp nền tảng</x:v>
      </x:c>
      <x:c r="E14" s="9" t="str"/>
      <x:c r="F14" s="9" t="str"/>
      <x:c r="G14" s="9" t="str"/>
      <x:c r="H14" s="11"/>
      <x:c r="I14" s="11"/>
      <x:c r="J14" s="11"/>
      <x:c r="K14" s="11"/>
      <x:c r="L14" s="11"/>
      <x:c r="M14" s="9" t="str"/>
      <x:c r="N14" s="9" t="str"/>
      <x:c r="O14" s="8" t="str">
        <x:f>IF(OR(E14="",F14="",G14="",M14="",N14="",NOT(ISNUMBER(H14)),NOT(ISNUMBER(I14)),NOT(ISNUMBER(J14))),"Cần hoàn thiện BIA",IF(OR(H14&lt;0,I14&lt;0,J14&lt;0),"Chỉ tiêu không hợp lệ",IF(I14&gt;J14,"RTO vượt MTD","Đủ đầu vào theo khai báo")))</x:f>
        <x:v>Cần hoàn thiện BIA</x:v>
      </x:c>
    </x:row>
  </x:sheetData>
  <x:pageMargins left="0.7" right="0.7" top="0.75" bottom="0.75" header="0.3" footer="0.3"/>
  <x:tableParts count="1">
    <x:tablePart xmlns:r="http://schemas.openxmlformats.org/officeDocument/2006/relationships" r:id="Rbc69460bf0884a9d"/>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35" hidden="0" customWidth="1"/>
    <x:col min="4" max="4" width="50" hidden="0" customWidth="1"/>
    <x:col min="5" max="5" width="45" hidden="0" customWidth="1"/>
    <x:col min="6" max="6" width="25" hidden="0" customWidth="1"/>
    <x:col min="7" max="7" width="19" hidden="0" customWidth="1"/>
    <x:col min="8" max="8" width="19" hidden="0" customWidth="1"/>
    <x:col min="9" max="9" width="18" hidden="0" customWidth="1"/>
    <x:col min="10" max="10" width="23" hidden="0" customWidth="1"/>
    <x:col min="11" max="11" width="48" hidden="0" customWidth="1"/>
    <x:col min="12" max="12" width="18" hidden="0" customWidth="1"/>
    <x:col min="13" max="13" width="42" hidden="0" customWidth="1"/>
    <x:col min="14" max="14" width="19" hidden="0" customWidth="1"/>
    <x:col min="15" max="15" width="19" hidden="0" customWidth="1"/>
    <x:col min="16" max="16" width="18" hidden="0" customWidth="1"/>
    <x:col min="17" max="17" width="26" hidden="0" customWidth="1"/>
    <x:col min="18" max="18" width="18" hidden="0" customWidth="1"/>
    <x:col min="19" max="19" width="35" hidden="0" customWidth="1"/>
  </x:cols>
  <x:sheetData>
    <x:row r="1">
      <x:c r="A1" s="1"/>
      <x:c r="B1" s="1"/>
      <x:c r="C1" s="1"/>
      <x:c r="D1" s="1"/>
      <x:c r="E1" s="1"/>
      <x:c r="F1" s="1"/>
      <x:c r="G1" s="1"/>
      <x:c r="H1" s="1"/>
      <x:c r="I1" s="1"/>
      <x:c r="J1" s="1"/>
      <x:c r="K1" s="1"/>
      <x:c r="L1" s="1"/>
      <x:c r="M1" s="1"/>
      <x:c r="N1" s="1"/>
      <x:c r="O1" s="1"/>
      <x:c r="P1" s="1"/>
      <x:c r="Q1" s="1"/>
      <x:c r="R1" s="1"/>
      <x:c r="S1" s="1"/>
    </x:row>
    <x:row r="2">
      <x:c r="A2" s="2" t="str">
        <x:v>Sổ đánh giá và xử lý rủi ro</x:v>
      </x:c>
      <x:c r="B2" s="1"/>
      <x:c r="C2" s="1"/>
      <x:c r="D2" s="1"/>
      <x:c r="E2" s="1"/>
      <x:c r="F2" s="1"/>
      <x:c r="G2" s="1"/>
      <x:c r="H2" s="1"/>
      <x:c r="I2" s="1"/>
      <x:c r="J2" s="1"/>
      <x:c r="K2" s="1"/>
      <x:c r="L2" s="1"/>
      <x:c r="M2" s="1"/>
      <x:c r="N2" s="1"/>
      <x:c r="O2" s="1"/>
      <x:c r="P2" s="1"/>
      <x:c r="Q2" s="1"/>
      <x:c r="R2" s="1"/>
      <x:c r="S2" s="1"/>
    </x:row>
    <x:row r="3">
      <x:c r="A3" s="1" t="str">
        <x:v>Thang 5×5 là phương pháp nội bộ đề xuất tại Huong dan; không dùng điểm này để tự xác định cấp độ pháp lý. Không điền điểm thay người đánh giá.</x:v>
      </x:c>
      <x:c r="B3" s="1"/>
      <x:c r="C3" s="1"/>
      <x:c r="D3" s="1"/>
      <x:c r="E3" s="1"/>
      <x:c r="F3" s="1"/>
      <x:c r="G3" s="1"/>
      <x:c r="H3" s="1"/>
      <x:c r="I3" s="1"/>
      <x:c r="J3" s="1"/>
      <x:c r="K3" s="1"/>
      <x:c r="L3" s="1"/>
      <x:c r="M3" s="1"/>
      <x:c r="N3" s="1"/>
      <x:c r="O3" s="1"/>
      <x:c r="P3" s="1"/>
      <x:c r="Q3" s="1"/>
      <x:c r="R3" s="1"/>
      <x:c r="S3" s="1"/>
    </x:row>
    <x:row r="4">
      <x:c r="A4" s="1"/>
      <x:c r="B4" s="1"/>
      <x:c r="C4" s="1"/>
      <x:c r="D4" s="1"/>
      <x:c r="E4" s="1"/>
      <x:c r="F4" s="1"/>
      <x:c r="G4" s="1"/>
      <x:c r="H4" s="1"/>
      <x:c r="I4" s="1"/>
      <x:c r="J4" s="1"/>
      <x:c r="K4" s="1"/>
      <x:c r="L4" s="1"/>
      <x:c r="M4" s="1"/>
      <x:c r="N4" s="1"/>
      <x:c r="O4" s="1"/>
      <x:c r="P4" s="1"/>
      <x:c r="Q4" s="1"/>
      <x:c r="R4" s="1"/>
      <x:c r="S4" s="1"/>
    </x:row>
    <x:row r="5" ht="40" customHeight="1">
      <x:c r="A5" s="7" t="str">
        <x:v>Mã</x:v>
      </x:c>
      <x:c r="B5" s="7" t="str">
        <x:v>Kịch bản</x:v>
      </x:c>
      <x:c r="C5" s="7" t="str">
        <x:v>Tài sản và dịch vụ</x:v>
      </x:c>
      <x:c r="D5" s="7" t="str">
        <x:v>Tác động cần lượng hóa</x:v>
      </x:c>
      <x:c r="E5" s="7" t="str">
        <x:v>Kiểm soát dự kiến</x:v>
      </x:c>
      <x:c r="F5" s="7" t="str">
        <x:v>Chủ rủi ro</x:v>
      </x:c>
      <x:c r="G5" s="7" t="str">
        <x:v>Khả năng 1 đến 5</x:v>
      </x:c>
      <x:c r="H5" s="7" t="str">
        <x:v>Tác động 1 đến 5</x:v>
      </x:c>
      <x:c r="I5" s="7" t="str">
        <x:v>Điểm ban đầu</x:v>
      </x:c>
      <x:c r="J5" s="7" t="str">
        <x:v>Mức nội bộ</x:v>
      </x:c>
      <x:c r="K5" s="7" t="str">
        <x:v>Hành động thực tế</x:v>
      </x:c>
      <x:c r="L5" s="7" t="str">
        <x:v>Hạn xử lý</x:v>
      </x:c>
      <x:c r="M5" s="7" t="str">
        <x:v>Bằng chứng kiểm soát</x:v>
      </x:c>
      <x:c r="N5" s="7" t="str">
        <x:v>Khả năng còn lại</x:v>
      </x:c>
      <x:c r="O5" s="7" t="str">
        <x:v>Tác động còn lại</x:v>
      </x:c>
      <x:c r="P5" s="7" t="str">
        <x:v>Điểm còn lại</x:v>
      </x:c>
      <x:c r="Q5" s="7" t="str">
        <x:v>Người chấp nhận</x:v>
      </x:c>
      <x:c r="R5" s="7" t="str">
        <x:v>Ngày chấp nhận</x:v>
      </x:c>
      <x:c r="S5" s="7" t="str">
        <x:v>Trạng thái</x:v>
      </x:c>
    </x:row>
    <x:row r="6" ht="98" customHeight="1">
      <x:c r="A6" s="8" t="str">
        <x:v>RR01</x:v>
      </x:c>
      <x:c r="B6" s="8" t="str">
        <x:v>Tài khoản cloud admin bị chiếm hoặc lạm dụng</x:v>
      </x:c>
      <x:c r="C6" s="9" t="str">
        <x:v>[CẦN XÁC ĐỊNH TÀI SẢN]</x:v>
      </x:c>
      <x:c r="D6" s="9" t="str">
        <x:v>Lộ/sửa dữ liệu nhiều tenant; ảnh hưởng dịch vụ diện rộng</x:v>
      </x:c>
      <x:c r="E6" s="8" t="str">
        <x:v>PAM, MFA, tách quyền, log độc lập</x:v>
      </x:c>
      <x:c r="F6" s="9" t="str">
        <x:v>CISO</x:v>
      </x:c>
      <x:c r="G6" s="9"/>
      <x:c r="H6" s="9"/>
      <x:c r="I6" s="8" t="str">
        <x:f>IF(OR(NOT(ISNUMBER(G6)),NOT(ISNUMBER(H6))),"",G6*H6)</x:f>
      </x:c>
      <x:c r="J6" s="8" t="str">
        <x:f>IF(I6="","Chưa đánh giá",IF(I6&lt;=4,"Thấp",IF(I6&lt;=9,"Trung bình",IF(I6&lt;=16,"Cao","Rất cao"))))</x:f>
        <x:v>Chưa đánh giá</x:v>
      </x:c>
      <x:c r="K6" s="9" t="str"/>
      <x:c r="L6" s="10"/>
      <x:c r="M6" s="9" t="str"/>
      <x:c r="N6" s="9"/>
      <x:c r="O6" s="9"/>
      <x:c r="P6" s="8" t="str">
        <x:f>IF(OR(NOT(ISNUMBER(N6)),NOT(ISNUMBER(O6))),"",N6*O6)</x:f>
      </x:c>
      <x:c r="Q6" s="9" t="str"/>
      <x:c r="R6" s="10"/>
      <x:c r="S6" s="8" t="str">
        <x:f>IF(I6="","Chưa đánh giá",IF(OR(K6="",M6="",P6=""),"Chưa đủ bằng chứng",IF(OR(Q6="",NOT(ISNUMBER(R6))),"Chờ chấp nhận rủi ro","Đã ghi nhận chấp nhận")))</x:f>
        <x:v>Chưa đánh giá</x:v>
      </x:c>
    </x:row>
    <x:row r="7" ht="98" customHeight="1">
      <x:c r="A7" s="4" t="str">
        <x:v>RR02</x:v>
      </x:c>
      <x:c r="B7" s="4" t="str">
        <x:v>Vượt ranh giới tenant qua API hoặc SDN</x:v>
      </x:c>
      <x:c r="C7" s="9" t="str">
        <x:v>[CẦN XÁC ĐỊNH TÀI SẢN]</x:v>
      </x:c>
      <x:c r="D7" s="9" t="str">
        <x:v>Lộ dữ liệu, thay đổi trái phép tài nguyên khách hàng</x:v>
      </x:c>
      <x:c r="E7" s="4" t="str">
        <x:v>RBAC, SG, kiểm tra sở hữu và cách ly</x:v>
      </x:c>
      <x:c r="F7" s="9" t="str">
        <x:v>Platform</x:v>
      </x:c>
      <x:c r="G7" s="9"/>
      <x:c r="H7" s="9"/>
      <x:c r="I7" s="4" t="str">
        <x:f>IF(OR(NOT(ISNUMBER(G7)),NOT(ISNUMBER(H7))),"",G7*H7)</x:f>
      </x:c>
      <x:c r="J7" s="4" t="str">
        <x:f>IF(I7="","Chưa đánh giá",IF(I7&lt;=4,"Thấp",IF(I7&lt;=9,"Trung bình",IF(I7&lt;=16,"Cao","Rất cao"))))</x:f>
        <x:v>Chưa đánh giá</x:v>
      </x:c>
      <x:c r="K7" s="9" t="str"/>
      <x:c r="L7" s="10"/>
      <x:c r="M7" s="9" t="str"/>
      <x:c r="N7" s="9"/>
      <x:c r="O7" s="9"/>
      <x:c r="P7" s="4" t="str">
        <x:f>IF(OR(NOT(ISNUMBER(N7)),NOT(ISNUMBER(O7))),"",N7*O7)</x:f>
      </x:c>
      <x:c r="Q7" s="9" t="str"/>
      <x:c r="R7" s="10"/>
      <x:c r="S7" s="4" t="str">
        <x:f>IF(I7="","Chưa đánh giá",IF(OR(K7="",M7="",P7=""),"Chưa đủ bằng chứng",IF(OR(Q7="",NOT(ISNUMBER(R7))),"Chờ chấp nhận rủi ro","Đã ghi nhận chấp nhận")))</x:f>
        <x:v>Chưa đánh giá</x:v>
      </x:c>
    </x:row>
    <x:row r="8" ht="98" customHeight="1">
      <x:c r="A8" s="8" t="str">
        <x:v>RR03</x:v>
      </x:c>
      <x:c r="B8" s="8" t="str">
        <x:v>Ransomware phá cả bản chính và bản sao</x:v>
      </x:c>
      <x:c r="C8" s="9" t="str">
        <x:v>[CẦN XÁC ĐỊNH TÀI SẢN]</x:v>
      </x:c>
      <x:c r="D8" s="9" t="str">
        <x:v>Không khôi phục được dịch vụ và dữ liệu</x:v>
      </x:c>
      <x:c r="E8" s="8" t="str">
        <x:v>Kho độc lập, bất biến, tách quyền và restore</x:v>
      </x:c>
      <x:c r="F8" s="9" t="str">
        <x:v>Backup</x:v>
      </x:c>
      <x:c r="G8" s="9"/>
      <x:c r="H8" s="9"/>
      <x:c r="I8" s="8" t="str">
        <x:f>IF(OR(NOT(ISNUMBER(G8)),NOT(ISNUMBER(H8))),"",G8*H8)</x:f>
      </x:c>
      <x:c r="J8" s="8" t="str">
        <x:f>IF(I8="","Chưa đánh giá",IF(I8&lt;=4,"Thấp",IF(I8&lt;=9,"Trung bình",IF(I8&lt;=16,"Cao","Rất cao"))))</x:f>
        <x:v>Chưa đánh giá</x:v>
      </x:c>
      <x:c r="K8" s="9" t="str"/>
      <x:c r="L8" s="10"/>
      <x:c r="M8" s="9" t="str"/>
      <x:c r="N8" s="9"/>
      <x:c r="O8" s="9"/>
      <x:c r="P8" s="8" t="str">
        <x:f>IF(OR(NOT(ISNUMBER(N8)),NOT(ISNUMBER(O8))),"",N8*O8)</x:f>
      </x:c>
      <x:c r="Q8" s="9" t="str"/>
      <x:c r="R8" s="10"/>
      <x:c r="S8" s="8" t="str">
        <x:f>IF(I8="","Chưa đánh giá",IF(OR(K8="",M8="",P8=""),"Chưa đủ bằng chứng",IF(OR(Q8="",NOT(ISNUMBER(R8))),"Chờ chấp nhận rủi ro","Đã ghi nhận chấp nhận")))</x:f>
        <x:v>Chưa đánh giá</x:v>
      </x:c>
    </x:row>
    <x:row r="9" ht="98" customHeight="1">
      <x:c r="A9" s="4" t="str">
        <x:v>RR04</x:v>
      </x:c>
      <x:c r="B9" s="4" t="str">
        <x:v>Mất toàn bộ IDC Cầu Giấy</x:v>
      </x:c>
      <x:c r="C9" s="9" t="str">
        <x:v>[CẦN XÁC ĐỊNH TÀI SẢN]</x:v>
      </x:c>
      <x:c r="D9" s="9" t="str">
        <x:v>Gián đoạn đồng thời nhiều dịch vụ khách hàng</x:v>
      </x:c>
      <x:c r="E9" s="4" t="str">
        <x:v>DR độc lập, replica, fencing, capacity</x:v>
      </x:c>
      <x:c r="F9" s="9" t="str">
        <x:v>Hạ tầng</x:v>
      </x:c>
      <x:c r="G9" s="9"/>
      <x:c r="H9" s="9"/>
      <x:c r="I9" s="4" t="str">
        <x:f>IF(OR(NOT(ISNUMBER(G9)),NOT(ISNUMBER(H9))),"",G9*H9)</x:f>
      </x:c>
      <x:c r="J9" s="4" t="str">
        <x:f>IF(I9="","Chưa đánh giá",IF(I9&lt;=4,"Thấp",IF(I9&lt;=9,"Trung bình",IF(I9&lt;=16,"Cao","Rất cao"))))</x:f>
        <x:v>Chưa đánh giá</x:v>
      </x:c>
      <x:c r="K9" s="9" t="str"/>
      <x:c r="L9" s="10"/>
      <x:c r="M9" s="9" t="str"/>
      <x:c r="N9" s="9"/>
      <x:c r="O9" s="9"/>
      <x:c r="P9" s="4" t="str">
        <x:f>IF(OR(NOT(ISNUMBER(N9)),NOT(ISNUMBER(O9))),"",N9*O9)</x:f>
      </x:c>
      <x:c r="Q9" s="9" t="str"/>
      <x:c r="R9" s="10"/>
      <x:c r="S9" s="4" t="str">
        <x:f>IF(I9="","Chưa đánh giá",IF(OR(K9="",M9="",P9=""),"Chưa đủ bằng chứng",IF(OR(Q9="",NOT(ISNUMBER(R9))),"Chờ chấp nhận rủi ro","Đã ghi nhận chấp nhận")))</x:f>
        <x:v>Chưa đánh giá</x:v>
      </x:c>
    </x:row>
    <x:row r="10" ht="98" customHeight="1">
      <x:c r="A10" s="8" t="str">
        <x:v>RR05</x:v>
      </x:c>
      <x:c r="B10" s="8" t="str">
        <x:v>Mất kênh liên site hoặc hai site ghi đồng thời</x:v>
      </x:c>
      <x:c r="C10" s="9" t="str">
        <x:v>[CẦN XÁC ĐỊNH TÀI SẢN]</x:v>
      </x:c>
      <x:c r="D10" s="9" t="str">
        <x:v>Dữ liệu không nhất quán hoặc mất giao dịch</x:v>
      </x:c>
      <x:c r="E10" s="8" t="str">
        <x:v>Theo dõi lag, quorum riêng, fencing và quy trình DR</x:v>
      </x:c>
      <x:c r="F10" s="9" t="str">
        <x:v>Platform</x:v>
      </x:c>
      <x:c r="G10" s="9"/>
      <x:c r="H10" s="9"/>
      <x:c r="I10" s="8" t="str">
        <x:f>IF(OR(NOT(ISNUMBER(G10)),NOT(ISNUMBER(H10))),"",G10*H10)</x:f>
      </x:c>
      <x:c r="J10" s="8" t="str">
        <x:f>IF(I10="","Chưa đánh giá",IF(I10&lt;=4,"Thấp",IF(I10&lt;=9,"Trung bình",IF(I10&lt;=16,"Cao","Rất cao"))))</x:f>
        <x:v>Chưa đánh giá</x:v>
      </x:c>
      <x:c r="K10" s="9" t="str"/>
      <x:c r="L10" s="10"/>
      <x:c r="M10" s="9" t="str"/>
      <x:c r="N10" s="9"/>
      <x:c r="O10" s="9"/>
      <x:c r="P10" s="8" t="str">
        <x:f>IF(OR(NOT(ISNUMBER(N10)),NOT(ISNUMBER(O10))),"",N10*O10)</x:f>
      </x:c>
      <x:c r="Q10" s="9" t="str"/>
      <x:c r="R10" s="10"/>
      <x:c r="S10" s="8" t="str">
        <x:f>IF(I10="","Chưa đánh giá",IF(OR(K10="",M10="",P10=""),"Chưa đủ bằng chứng",IF(OR(Q10="",NOT(ISNUMBER(R10))),"Chờ chấp nhận rủi ro","Đã ghi nhận chấp nhận")))</x:f>
        <x:v>Chưa đánh giá</x:v>
      </x:c>
    </x:row>
    <x:row r="11" ht="98" customHeight="1">
      <x:c r="A11" s="4" t="str">
        <x:v>RR06</x:v>
      </x:c>
      <x:c r="B11" s="4" t="str">
        <x:v>Mất khóa hoặc vòng phụ thuộc phục hồi</x:v>
      </x:c>
      <x:c r="C11" s="9" t="str">
        <x:v>[CẦN XÁC ĐỊNH TÀI SẢN]</x:v>
      </x:c>
      <x:c r="D11" s="9" t="str">
        <x:v>Có bản sao nhưng không giải mã/dựng được hệ thống</x:v>
      </x:c>
      <x:c r="E11" s="4" t="str">
        <x:v>Backup khóa, bí mật khẩn cấp và cold start</x:v>
      </x:c>
      <x:c r="F11" s="9" t="str">
        <x:v>Quản trị khóa</x:v>
      </x:c>
      <x:c r="G11" s="9"/>
      <x:c r="H11" s="9"/>
      <x:c r="I11" s="4" t="str">
        <x:f>IF(OR(NOT(ISNUMBER(G11)),NOT(ISNUMBER(H11))),"",G11*H11)</x:f>
      </x:c>
      <x:c r="J11" s="4" t="str">
        <x:f>IF(I11="","Chưa đánh giá",IF(I11&lt;=4,"Thấp",IF(I11&lt;=9,"Trung bình",IF(I11&lt;=16,"Cao","Rất cao"))))</x:f>
        <x:v>Chưa đánh giá</x:v>
      </x:c>
      <x:c r="K11" s="9" t="str"/>
      <x:c r="L11" s="10"/>
      <x:c r="M11" s="9" t="str"/>
      <x:c r="N11" s="9"/>
      <x:c r="O11" s="9"/>
      <x:c r="P11" s="4" t="str">
        <x:f>IF(OR(NOT(ISNUMBER(N11)),NOT(ISNUMBER(O11))),"",N11*O11)</x:f>
      </x:c>
      <x:c r="Q11" s="9" t="str"/>
      <x:c r="R11" s="10"/>
      <x:c r="S11" s="4" t="str">
        <x:f>IF(I11="","Chưa đánh giá",IF(OR(K11="",M11="",P11=""),"Chưa đủ bằng chứng",IF(OR(Q11="",NOT(ISNUMBER(R11))),"Chờ chấp nhận rủi ro","Đã ghi nhận chấp nhận")))</x:f>
        <x:v>Chưa đánh giá</x:v>
      </x:c>
    </x:row>
    <x:row r="12" ht="98" customHeight="1">
      <x:c r="A12" s="8" t="str">
        <x:v>RR07</x:v>
      </x:c>
      <x:c r="B12" s="8" t="str">
        <x:v>Lỗ hổng hoặc mã độc trong bản đóng gói XOR</x:v>
      </x:c>
      <x:c r="C12" s="9" t="str">
        <x:v>[CẦN XÁC ĐỊNH TÀI SẢN]</x:v>
      </x:c>
      <x:c r="D12" s="9" t="str">
        <x:v>Tấn công chuỗi cung ứng vào nhiều host/tenant</x:v>
      </x:c>
      <x:c r="E12" s="8" t="str">
        <x:v>SBOM, review, ký image, gate và rollback</x:v>
      </x:c>
      <x:c r="F12" s="9" t="str">
        <x:v>DevSecOps</x:v>
      </x:c>
      <x:c r="G12" s="9"/>
      <x:c r="H12" s="9"/>
      <x:c r="I12" s="8" t="str">
        <x:f>IF(OR(NOT(ISNUMBER(G12)),NOT(ISNUMBER(H12))),"",G12*H12)</x:f>
      </x:c>
      <x:c r="J12" s="8" t="str">
        <x:f>IF(I12="","Chưa đánh giá",IF(I12&lt;=4,"Thấp",IF(I12&lt;=9,"Trung bình",IF(I12&lt;=16,"Cao","Rất cao"))))</x:f>
        <x:v>Chưa đánh giá</x:v>
      </x:c>
      <x:c r="K12" s="9" t="str"/>
      <x:c r="L12" s="10"/>
      <x:c r="M12" s="9" t="str"/>
      <x:c r="N12" s="9"/>
      <x:c r="O12" s="9"/>
      <x:c r="P12" s="8" t="str">
        <x:f>IF(OR(NOT(ISNUMBER(N12)),NOT(ISNUMBER(O12))),"",N12*O12)</x:f>
      </x:c>
      <x:c r="Q12" s="9" t="str"/>
      <x:c r="R12" s="10"/>
      <x:c r="S12" s="8" t="str">
        <x:f>IF(I12="","Chưa đánh giá",IF(OR(K12="",M12="",P12=""),"Chưa đủ bằng chứng",IF(OR(Q12="",NOT(ISNUMBER(R12))),"Chờ chấp nhận rủi ro","Đã ghi nhận chấp nhận")))</x:f>
        <x:v>Chưa đánh giá</x:v>
      </x:c>
    </x:row>
    <x:row r="13" ht="98" customHeight="1">
      <x:c r="A13" s="4" t="str">
        <x:v>RR08</x:v>
      </x:c>
      <x:c r="B13" s="4" t="str">
        <x:v>DDoS hoặc lỗi thiết bị mạng/ISP</x:v>
      </x:c>
      <x:c r="C13" s="9" t="str">
        <x:v>[CẦN XÁC ĐỊNH TÀI SẢN]</x:v>
      </x:c>
      <x:c r="D13" s="9" t="str">
        <x:v>Mất truy cập dịch vụ công khai, suy giảm khả dụng</x:v>
      </x:c>
      <x:c r="E13" s="4" t="str">
        <x:v>Hai ISP, chống DDoS, FW/LB HA</x:v>
      </x:c>
      <x:c r="F13" s="9" t="str">
        <x:v>Network</x:v>
      </x:c>
      <x:c r="G13" s="9"/>
      <x:c r="H13" s="9"/>
      <x:c r="I13" s="4" t="str">
        <x:f>IF(OR(NOT(ISNUMBER(G13)),NOT(ISNUMBER(H13))),"",G13*H13)</x:f>
      </x:c>
      <x:c r="J13" s="4" t="str">
        <x:f>IF(I13="","Chưa đánh giá",IF(I13&lt;=4,"Thấp",IF(I13&lt;=9,"Trung bình",IF(I13&lt;=16,"Cao","Rất cao"))))</x:f>
        <x:v>Chưa đánh giá</x:v>
      </x:c>
      <x:c r="K13" s="9" t="str"/>
      <x:c r="L13" s="10"/>
      <x:c r="M13" s="9" t="str"/>
      <x:c r="N13" s="9"/>
      <x:c r="O13" s="9"/>
      <x:c r="P13" s="4" t="str">
        <x:f>IF(OR(NOT(ISNUMBER(N13)),NOT(ISNUMBER(O13))),"",N13*O13)</x:f>
      </x:c>
      <x:c r="Q13" s="9" t="str"/>
      <x:c r="R13" s="10"/>
      <x:c r="S13" s="4" t="str">
        <x:f>IF(I13="","Chưa đánh giá",IF(OR(K13="",M13="",P13=""),"Chưa đủ bằng chứng",IF(OR(Q13="",NOT(ISNUMBER(R13))),"Chờ chấp nhận rủi ro","Đã ghi nhận chấp nhận")))</x:f>
        <x:v>Chưa đánh giá</x:v>
      </x:c>
    </x:row>
    <x:row r="14" ht="98" customHeight="1">
      <x:c r="A14" s="8" t="str">
        <x:v>RR09</x:v>
      </x:c>
      <x:c r="B14" s="8" t="str">
        <x:v>SOC thiếu nguồn log hoặc mất dấu vết</x:v>
      </x:c>
      <x:c r="C14" s="9" t="str">
        <x:v>[CẦN XÁC ĐỊNH TÀI SẢN]</x:v>
      </x:c>
      <x:c r="D14" s="9" t="str">
        <x:v>Không phát hiện hoặc điều tra được sự cố</x:v>
      </x:c>
      <x:c r="E14" s="8" t="str">
        <x:v>Ma trận nguồn, retention, chống sửa/xóa</x:v>
      </x:c>
      <x:c r="F14" s="9" t="str">
        <x:v>SOC</x:v>
      </x:c>
      <x:c r="G14" s="9"/>
      <x:c r="H14" s="9"/>
      <x:c r="I14" s="8" t="str">
        <x:f>IF(OR(NOT(ISNUMBER(G14)),NOT(ISNUMBER(H14))),"",G14*H14)</x:f>
      </x:c>
      <x:c r="J14" s="8" t="str">
        <x:f>IF(I14="","Chưa đánh giá",IF(I14&lt;=4,"Thấp",IF(I14&lt;=9,"Trung bình",IF(I14&lt;=16,"Cao","Rất cao"))))</x:f>
        <x:v>Chưa đánh giá</x:v>
      </x:c>
      <x:c r="K14" s="9" t="str"/>
      <x:c r="L14" s="10"/>
      <x:c r="M14" s="9" t="str"/>
      <x:c r="N14" s="9"/>
      <x:c r="O14" s="9"/>
      <x:c r="P14" s="8" t="str">
        <x:f>IF(OR(NOT(ISNUMBER(N14)),NOT(ISNUMBER(O14))),"",N14*O14)</x:f>
      </x:c>
      <x:c r="Q14" s="9" t="str"/>
      <x:c r="R14" s="10"/>
      <x:c r="S14" s="8" t="str">
        <x:f>IF(I14="","Chưa đánh giá",IF(OR(K14="",M14="",P14=""),"Chưa đủ bằng chứng",IF(OR(Q14="",NOT(ISNUMBER(R14))),"Chờ chấp nhận rủi ro","Đã ghi nhận chấp nhận")))</x:f>
        <x:v>Chưa đánh giá</x:v>
      </x:c>
    </x:row>
    <x:row r="15" ht="98" customHeight="1">
      <x:c r="A15" s="4" t="str">
        <x:v>RR10</x:v>
      </x:c>
      <x:c r="B15" s="4" t="str">
        <x:v>Sự cố khu vực ảnh hưởng cả DC và DR</x:v>
      </x:c>
      <x:c r="C15" s="9" t="str">
        <x:v>[CẦN XÁC ĐỊNH TÀI SẢN]</x:v>
      </x:c>
      <x:c r="D15" s="9" t="str">
        <x:v>Hai IDC cùng gián đoạn do điện/cáp/thiên tai hoặc nhà cung cấp</x:v>
      </x:c>
      <x:c r="E15" s="4" t="str">
        <x:v>Phân tích miền lỗi chung, bản sao và kế hoạch thay thế</x:v>
      </x:c>
      <x:c r="F15" s="9" t="str">
        <x:v>Chủ quản</x:v>
      </x:c>
      <x:c r="G15" s="9"/>
      <x:c r="H15" s="9"/>
      <x:c r="I15" s="4" t="str">
        <x:f>IF(OR(NOT(ISNUMBER(G15)),NOT(ISNUMBER(H15))),"",G15*H15)</x:f>
      </x:c>
      <x:c r="J15" s="4" t="str">
        <x:f>IF(I15="","Chưa đánh giá",IF(I15&lt;=4,"Thấp",IF(I15&lt;=9,"Trung bình",IF(I15&lt;=16,"Cao","Rất cao"))))</x:f>
        <x:v>Chưa đánh giá</x:v>
      </x:c>
      <x:c r="K15" s="9" t="str"/>
      <x:c r="L15" s="10"/>
      <x:c r="M15" s="9" t="str"/>
      <x:c r="N15" s="9"/>
      <x:c r="O15" s="9"/>
      <x:c r="P15" s="4" t="str">
        <x:f>IF(OR(NOT(ISNUMBER(N15)),NOT(ISNUMBER(O15))),"",N15*O15)</x:f>
      </x:c>
      <x:c r="Q15" s="9" t="str"/>
      <x:c r="R15" s="10"/>
      <x:c r="S15" s="4" t="str">
        <x:f>IF(I15="","Chưa đánh giá",IF(OR(K15="",M15="",P15=""),"Chưa đủ bằng chứng",IF(OR(Q15="",NOT(ISNUMBER(R15))),"Chờ chấp nhận rủi ro","Đã ghi nhận chấp nhận")))</x:f>
        <x:v>Chưa đánh giá</x:v>
      </x:c>
    </x:row>
  </x:sheetData>
  <x:dataValidations count="2">
    <x:dataValidation type="whole" operator="between" sqref="G6:H15">
      <x:formula1>1</x:formula1>
      <x:formula2>5</x:formula2>
    </x:dataValidation>
    <x:dataValidation type="whole" operator="between" sqref="N6:O15">
      <x:formula1>1</x:formula1>
      <x:formula2>5</x:formula2>
    </x:dataValidation>
  </x:dataValidations>
  <x:pageMargins left="0.7" right="0.7" top="0.75" bottom="0.75" header="0.3" footer="0.3"/>
  <x:tableParts count="1">
    <x:tablePart xmlns:r="http://schemas.openxmlformats.org/officeDocument/2006/relationships" r:id="R8e0878ec46cb4cd1"/>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1" hidden="0" customWidth="1"/>
    <x:col min="3" max="3" width="34" hidden="0" customWidth="1"/>
    <x:col min="4" max="4" width="26" hidden="0" customWidth="1"/>
    <x:col min="5" max="5" width="23" hidden="0" customWidth="1"/>
    <x:col min="6" max="6" width="33" hidden="0" customWidth="1"/>
    <x:col min="7" max="7" width="31" hidden="0" customWidth="1"/>
    <x:col min="8" max="8" width="30" hidden="0" customWidth="1"/>
    <x:col min="9" max="9" width="24" hidden="0" customWidth="1"/>
    <x:col min="10" max="10" width="30" hidden="0" customWidth="1"/>
    <x:col min="11" max="11" width="23" hidden="0" customWidth="1"/>
    <x:col min="12" max="12" width="18" hidden="0" customWidth="1"/>
    <x:col min="13" max="13" width="42" hidden="0" customWidth="1"/>
    <x:col min="14" max="14" width="25" hidden="0" customWidth="1"/>
    <x:col min="15" max="15" width="42" hidden="0" customWidth="1"/>
  </x:cols>
  <x:sheetData>
    <x:row r="1">
      <x:c r="A1" s="1"/>
      <x:c r="B1" s="1"/>
      <x:c r="C1" s="1"/>
      <x:c r="D1" s="1"/>
      <x:c r="E1" s="1"/>
      <x:c r="F1" s="1"/>
      <x:c r="G1" s="1"/>
      <x:c r="H1" s="1"/>
      <x:c r="I1" s="1"/>
      <x:c r="J1" s="1"/>
      <x:c r="K1" s="1"/>
      <x:c r="L1" s="1"/>
      <x:c r="M1" s="1"/>
      <x:c r="N1" s="1"/>
      <x:c r="O1" s="1"/>
    </x:row>
    <x:row r="2">
      <x:c r="A2" s="2" t="str">
        <x:v>Danh mục cần kiểm kê theo từng IDC</x:v>
      </x:c>
      <x:c r="B2" s="1"/>
      <x:c r="C2" s="1"/>
      <x:c r="D2" s="1"/>
      <x:c r="E2" s="1"/>
      <x:c r="F2" s="1"/>
      <x:c r="G2" s="1"/>
      <x:c r="H2" s="1"/>
      <x:c r="I2" s="1"/>
      <x:c r="J2" s="1"/>
      <x:c r="K2" s="1"/>
      <x:c r="L2" s="1"/>
      <x:c r="M2" s="1"/>
      <x:c r="N2" s="1"/>
      <x:c r="O2" s="1"/>
    </x:row>
    <x:row r="3">
      <x:c r="A3" s="1" t="str">
        <x:v>Các dòng hiện là nhóm cần kiểm kê, chưa phải danh sách thiết bị có thật. Tạo mã duy nhất cho từng tài sản và ghi rõ phiên bản/phạm vi.</x:v>
      </x:c>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40" customHeight="1">
      <x:c r="A5" s="7" t="str">
        <x:v>Mã tài sản</x:v>
      </x:c>
      <x:c r="B5" s="7" t="str">
        <x:v>Nhóm cần kiểm kê</x:v>
      </x:c>
      <x:c r="C5" s="7" t="str">
        <x:v>Tên tài sản thực tế</x:v>
      </x:c>
      <x:c r="D5" s="7" t="str">
        <x:v>Site</x:v>
      </x:c>
      <x:c r="E5" s="7" t="str">
        <x:v>Vùng mạng</x:v>
      </x:c>
      <x:c r="F5" s="7" t="str">
        <x:v>IP hoặc endpoint</x:v>
      </x:c>
      <x:c r="G5" s="7" t="str">
        <x:v>MAC hoặc serial</x:v>
      </x:c>
      <x:c r="H5" s="7" t="str">
        <x:v>Phiên bản phần mềm</x:v>
      </x:c>
      <x:c r="I5" s="7" t="str">
        <x:v>Chủ sở hữu</x:v>
      </x:c>
      <x:c r="J5" s="7" t="str">
        <x:v>Loại dữ liệu</x:v>
      </x:c>
      <x:c r="K5" s="7" t="str">
        <x:v>Mức quan trọng</x:v>
      </x:c>
      <x:c r="L5" s="7" t="str">
        <x:v>Hạn hỗ trợ</x:v>
      </x:c>
      <x:c r="M5" s="7" t="str">
        <x:v>Bằng chứng cấu hình</x:v>
      </x:c>
      <x:c r="N5" s="7" t="str">
        <x:v>Tình trạng kiểm kê</x:v>
      </x:c>
      <x:c r="O5" s="7" t="str">
        <x:v>Ghi chú</x:v>
      </x:c>
    </x:row>
    <x:row r="6" ht="98" customHeight="1">
      <x:c r="A6" s="9" t="str"/>
      <x:c r="B6" s="9" t="str">
        <x:v>Controller và API</x:v>
      </x:c>
      <x:c r="C6" s="9" t="str"/>
      <x:c r="D6" s="9" t="str">
        <x:v>DC Cầu Giấy</x:v>
      </x:c>
      <x:c r="E6" s="9" t="str"/>
      <x:c r="F6" s="9" t="str"/>
      <x:c r="G6" s="9" t="str"/>
      <x:c r="H6" s="9" t="str"/>
      <x:c r="I6" s="9" t="str"/>
      <x:c r="J6" s="9" t="str"/>
      <x:c r="K6" s="9" t="str"/>
      <x:c r="L6" s="10"/>
      <x:c r="M6" s="9" t="str"/>
      <x:c r="N6" s="9" t="str">
        <x:v>Chưa kiểm kê</x:v>
      </x:c>
      <x:c r="O6" s="9" t="str"/>
    </x:row>
    <x:row r="7" ht="98" customHeight="1">
      <x:c r="A7" s="9" t="str"/>
      <x:c r="B7" s="9" t="str">
        <x:v>Compute và hypervisor</x:v>
      </x:c>
      <x:c r="C7" s="9" t="str"/>
      <x:c r="D7" s="9" t="str">
        <x:v>DC Cầu Giấy</x:v>
      </x:c>
      <x:c r="E7" s="9" t="str"/>
      <x:c r="F7" s="9" t="str"/>
      <x:c r="G7" s="9" t="str"/>
      <x:c r="H7" s="9" t="str"/>
      <x:c r="I7" s="9" t="str"/>
      <x:c r="J7" s="9" t="str"/>
      <x:c r="K7" s="9" t="str"/>
      <x:c r="L7" s="10"/>
      <x:c r="M7" s="9" t="str"/>
      <x:c r="N7" s="9" t="str">
        <x:v>Chưa kiểm kê</x:v>
      </x:c>
      <x:c r="O7" s="9" t="str"/>
    </x:row>
    <x:row r="8" ht="98" customHeight="1">
      <x:c r="A8" s="9" t="str"/>
      <x:c r="B8" s="9" t="str">
        <x:v>Mạng và bảo mật</x:v>
      </x:c>
      <x:c r="C8" s="9" t="str"/>
      <x:c r="D8" s="9" t="str">
        <x:v>DC Cầu Giấy</x:v>
      </x:c>
      <x:c r="E8" s="9" t="str"/>
      <x:c r="F8" s="9" t="str"/>
      <x:c r="G8" s="9" t="str"/>
      <x:c r="H8" s="9" t="str"/>
      <x:c r="I8" s="9" t="str"/>
      <x:c r="J8" s="9" t="str"/>
      <x:c r="K8" s="9" t="str"/>
      <x:c r="L8" s="10"/>
      <x:c r="M8" s="9" t="str"/>
      <x:c r="N8" s="9" t="str">
        <x:v>Chưa kiểm kê</x:v>
      </x:c>
      <x:c r="O8" s="9" t="str"/>
    </x:row>
    <x:row r="9" ht="98" customHeight="1">
      <x:c r="A9" s="9" t="str"/>
      <x:c r="B9" s="9" t="str">
        <x:v>Storage và backup</x:v>
      </x:c>
      <x:c r="C9" s="9" t="str"/>
      <x:c r="D9" s="9" t="str">
        <x:v>DC Cầu Giấy</x:v>
      </x:c>
      <x:c r="E9" s="9" t="str"/>
      <x:c r="F9" s="9" t="str"/>
      <x:c r="G9" s="9" t="str"/>
      <x:c r="H9" s="9" t="str"/>
      <x:c r="I9" s="9" t="str"/>
      <x:c r="J9" s="9" t="str"/>
      <x:c r="K9" s="9" t="str"/>
      <x:c r="L9" s="10"/>
      <x:c r="M9" s="9" t="str"/>
      <x:c r="N9" s="9" t="str">
        <x:v>Chưa kiểm kê</x:v>
      </x:c>
      <x:c r="O9" s="9" t="str"/>
    </x:row>
    <x:row r="10" ht="98" customHeight="1">
      <x:c r="A10" s="9" t="str"/>
      <x:c r="B10" s="9" t="str">
        <x:v>IAM PAM khóa</x:v>
      </x:c>
      <x:c r="C10" s="9" t="str"/>
      <x:c r="D10" s="9" t="str">
        <x:v>DC Cầu Giấy</x:v>
      </x:c>
      <x:c r="E10" s="9" t="str"/>
      <x:c r="F10" s="9" t="str"/>
      <x:c r="G10" s="9" t="str"/>
      <x:c r="H10" s="9" t="str"/>
      <x:c r="I10" s="9" t="str"/>
      <x:c r="J10" s="9" t="str"/>
      <x:c r="K10" s="9" t="str"/>
      <x:c r="L10" s="10"/>
      <x:c r="M10" s="9" t="str"/>
      <x:c r="N10" s="9" t="str">
        <x:v>Chưa kiểm kê</x:v>
      </x:c>
      <x:c r="O10" s="9" t="str"/>
    </x:row>
    <x:row r="11" ht="98" customHeight="1">
      <x:c r="A11" s="9" t="str"/>
      <x:c r="B11" s="9" t="str">
        <x:v>SOC và log</x:v>
      </x:c>
      <x:c r="C11" s="9" t="str"/>
      <x:c r="D11" s="9" t="str">
        <x:v>DC Cầu Giấy</x:v>
      </x:c>
      <x:c r="E11" s="9" t="str"/>
      <x:c r="F11" s="9" t="str"/>
      <x:c r="G11" s="9" t="str"/>
      <x:c r="H11" s="9" t="str"/>
      <x:c r="I11" s="9" t="str"/>
      <x:c r="J11" s="9" t="str"/>
      <x:c r="K11" s="9" t="str"/>
      <x:c r="L11" s="10"/>
      <x:c r="M11" s="9" t="str"/>
      <x:c r="N11" s="9" t="str">
        <x:v>Chưa kiểm kê</x:v>
      </x:c>
      <x:c r="O11" s="9" t="str"/>
    </x:row>
    <x:row r="12" ht="98" customHeight="1">
      <x:c r="A12" s="9" t="str"/>
      <x:c r="B12" s="9" t="str">
        <x:v>OOB và console</x:v>
      </x:c>
      <x:c r="C12" s="9" t="str"/>
      <x:c r="D12" s="9" t="str">
        <x:v>DC Cầu Giấy</x:v>
      </x:c>
      <x:c r="E12" s="9" t="str"/>
      <x:c r="F12" s="9" t="str"/>
      <x:c r="G12" s="9" t="str"/>
      <x:c r="H12" s="9" t="str"/>
      <x:c r="I12" s="9" t="str"/>
      <x:c r="J12" s="9" t="str"/>
      <x:c r="K12" s="9" t="str"/>
      <x:c r="L12" s="10"/>
      <x:c r="M12" s="9" t="str"/>
      <x:c r="N12" s="9" t="str">
        <x:v>Chưa kiểm kê</x:v>
      </x:c>
      <x:c r="O12" s="9" t="str"/>
    </x:row>
    <x:row r="13" ht="98" customHeight="1">
      <x:c r="A13" s="9" t="str"/>
      <x:c r="B13" s="9" t="str">
        <x:v>PAW và CI CD</x:v>
      </x:c>
      <x:c r="C13" s="9" t="str"/>
      <x:c r="D13" s="9" t="str">
        <x:v>DC Cầu Giấy</x:v>
      </x:c>
      <x:c r="E13" s="9" t="str"/>
      <x:c r="F13" s="9" t="str"/>
      <x:c r="G13" s="9" t="str"/>
      <x:c r="H13" s="9" t="str"/>
      <x:c r="I13" s="9" t="str"/>
      <x:c r="J13" s="9" t="str"/>
      <x:c r="K13" s="9" t="str"/>
      <x:c r="L13" s="10"/>
      <x:c r="M13" s="9" t="str"/>
      <x:c r="N13" s="9" t="str">
        <x:v>Chưa kiểm kê</x:v>
      </x:c>
      <x:c r="O13" s="9" t="str"/>
    </x:row>
    <x:row r="14" ht="98" customHeight="1">
      <x:c r="A14" s="9" t="str"/>
      <x:c r="B14" s="9" t="str">
        <x:v>Controller và API</x:v>
      </x:c>
      <x:c r="C14" s="9" t="str"/>
      <x:c r="D14" s="9" t="str">
        <x:v>DR Nam Thăng Long</x:v>
      </x:c>
      <x:c r="E14" s="9" t="str"/>
      <x:c r="F14" s="9" t="str"/>
      <x:c r="G14" s="9" t="str"/>
      <x:c r="H14" s="9" t="str"/>
      <x:c r="I14" s="9" t="str"/>
      <x:c r="J14" s="9" t="str"/>
      <x:c r="K14" s="9" t="str"/>
      <x:c r="L14" s="10"/>
      <x:c r="M14" s="9" t="str"/>
      <x:c r="N14" s="9" t="str">
        <x:v>Chưa kiểm kê</x:v>
      </x:c>
      <x:c r="O14" s="9" t="str"/>
    </x:row>
    <x:row r="15" ht="98" customHeight="1">
      <x:c r="A15" s="9" t="str"/>
      <x:c r="B15" s="9" t="str">
        <x:v>Compute và hypervisor</x:v>
      </x:c>
      <x:c r="C15" s="9" t="str"/>
      <x:c r="D15" s="9" t="str">
        <x:v>DR Nam Thăng Long</x:v>
      </x:c>
      <x:c r="E15" s="9" t="str"/>
      <x:c r="F15" s="9" t="str"/>
      <x:c r="G15" s="9" t="str"/>
      <x:c r="H15" s="9" t="str"/>
      <x:c r="I15" s="9" t="str"/>
      <x:c r="J15" s="9" t="str"/>
      <x:c r="K15" s="9" t="str"/>
      <x:c r="L15" s="10"/>
      <x:c r="M15" s="9" t="str"/>
      <x:c r="N15" s="9" t="str">
        <x:v>Chưa kiểm kê</x:v>
      </x:c>
      <x:c r="O15" s="9" t="str"/>
    </x:row>
    <x:row r="16" ht="98" customHeight="1">
      <x:c r="A16" s="9" t="str"/>
      <x:c r="B16" s="9" t="str">
        <x:v>Mạng và bảo mật</x:v>
      </x:c>
      <x:c r="C16" s="9" t="str"/>
      <x:c r="D16" s="9" t="str">
        <x:v>DR Nam Thăng Long</x:v>
      </x:c>
      <x:c r="E16" s="9" t="str"/>
      <x:c r="F16" s="9" t="str"/>
      <x:c r="G16" s="9" t="str"/>
      <x:c r="H16" s="9" t="str"/>
      <x:c r="I16" s="9" t="str"/>
      <x:c r="J16" s="9" t="str"/>
      <x:c r="K16" s="9" t="str"/>
      <x:c r="L16" s="10"/>
      <x:c r="M16" s="9" t="str"/>
      <x:c r="N16" s="9" t="str">
        <x:v>Chưa kiểm kê</x:v>
      </x:c>
      <x:c r="O16" s="9" t="str"/>
    </x:row>
    <x:row r="17" ht="98" customHeight="1">
      <x:c r="A17" s="9" t="str"/>
      <x:c r="B17" s="9" t="str">
        <x:v>Storage và backup</x:v>
      </x:c>
      <x:c r="C17" s="9" t="str"/>
      <x:c r="D17" s="9" t="str">
        <x:v>DR Nam Thăng Long</x:v>
      </x:c>
      <x:c r="E17" s="9" t="str"/>
      <x:c r="F17" s="9" t="str"/>
      <x:c r="G17" s="9" t="str"/>
      <x:c r="H17" s="9" t="str"/>
      <x:c r="I17" s="9" t="str"/>
      <x:c r="J17" s="9" t="str"/>
      <x:c r="K17" s="9" t="str"/>
      <x:c r="L17" s="10"/>
      <x:c r="M17" s="9" t="str"/>
      <x:c r="N17" s="9" t="str">
        <x:v>Chưa kiểm kê</x:v>
      </x:c>
      <x:c r="O17" s="9" t="str"/>
    </x:row>
    <x:row r="18" ht="98" customHeight="1">
      <x:c r="A18" s="9" t="str"/>
      <x:c r="B18" s="9" t="str">
        <x:v>IAM PAM khóa</x:v>
      </x:c>
      <x:c r="C18" s="9" t="str"/>
      <x:c r="D18" s="9" t="str">
        <x:v>DR Nam Thăng Long</x:v>
      </x:c>
      <x:c r="E18" s="9" t="str"/>
      <x:c r="F18" s="9" t="str"/>
      <x:c r="G18" s="9" t="str"/>
      <x:c r="H18" s="9" t="str"/>
      <x:c r="I18" s="9" t="str"/>
      <x:c r="J18" s="9" t="str"/>
      <x:c r="K18" s="9" t="str"/>
      <x:c r="L18" s="10"/>
      <x:c r="M18" s="9" t="str"/>
      <x:c r="N18" s="9" t="str">
        <x:v>Chưa kiểm kê</x:v>
      </x:c>
      <x:c r="O18" s="9" t="str"/>
    </x:row>
    <x:row r="19" ht="98" customHeight="1">
      <x:c r="A19" s="9" t="str"/>
      <x:c r="B19" s="9" t="str">
        <x:v>SOC và log</x:v>
      </x:c>
      <x:c r="C19" s="9" t="str"/>
      <x:c r="D19" s="9" t="str">
        <x:v>DR Nam Thăng Long</x:v>
      </x:c>
      <x:c r="E19" s="9" t="str"/>
      <x:c r="F19" s="9" t="str"/>
      <x:c r="G19" s="9" t="str"/>
      <x:c r="H19" s="9" t="str"/>
      <x:c r="I19" s="9" t="str"/>
      <x:c r="J19" s="9" t="str"/>
      <x:c r="K19" s="9" t="str"/>
      <x:c r="L19" s="10"/>
      <x:c r="M19" s="9" t="str"/>
      <x:c r="N19" s="9" t="str">
        <x:v>Chưa kiểm kê</x:v>
      </x:c>
      <x:c r="O19" s="9" t="str"/>
    </x:row>
    <x:row r="20" ht="98" customHeight="1">
      <x:c r="A20" s="9" t="str"/>
      <x:c r="B20" s="9" t="str">
        <x:v>OOB và console</x:v>
      </x:c>
      <x:c r="C20" s="9" t="str"/>
      <x:c r="D20" s="9" t="str">
        <x:v>DR Nam Thăng Long</x:v>
      </x:c>
      <x:c r="E20" s="9" t="str"/>
      <x:c r="F20" s="9" t="str"/>
      <x:c r="G20" s="9" t="str"/>
      <x:c r="H20" s="9" t="str"/>
      <x:c r="I20" s="9" t="str"/>
      <x:c r="J20" s="9" t="str"/>
      <x:c r="K20" s="9" t="str"/>
      <x:c r="L20" s="10"/>
      <x:c r="M20" s="9" t="str"/>
      <x:c r="N20" s="9" t="str">
        <x:v>Chưa kiểm kê</x:v>
      </x:c>
      <x:c r="O20" s="9" t="str"/>
    </x:row>
    <x:row r="21" ht="98" customHeight="1">
      <x:c r="A21" s="9" t="str"/>
      <x:c r="B21" s="9" t="str">
        <x:v>PAW và CI CD</x:v>
      </x:c>
      <x:c r="C21" s="9" t="str"/>
      <x:c r="D21" s="9" t="str">
        <x:v>DR Nam Thăng Long</x:v>
      </x:c>
      <x:c r="E21" s="9" t="str"/>
      <x:c r="F21" s="9" t="str"/>
      <x:c r="G21" s="9" t="str"/>
      <x:c r="H21" s="9" t="str"/>
      <x:c r="I21" s="9" t="str"/>
      <x:c r="J21" s="9" t="str"/>
      <x:c r="K21" s="9" t="str"/>
      <x:c r="L21" s="10"/>
      <x:c r="M21" s="9" t="str"/>
      <x:c r="N21" s="9" t="str">
        <x:v>Chưa kiểm kê</x:v>
      </x:c>
      <x:c r="O21" s="9" t="str"/>
    </x:row>
  </x:sheetData>
  <x:dataValidations count="1">
    <x:dataValidation type="list" sqref="N6:N21">
      <x:formula1>"Chưa kiểm kê,Đã kiểm kê,Cần xác minh"</x:formula1>
    </x:dataValidation>
  </x:dataValidations>
  <x:pageMargins left="0.7" right="0.7" top="0.75" bottom="0.75" header="0.3" footer="0.3"/>
  <x:tableParts count="1">
    <x:tablePart xmlns:r="http://schemas.openxmlformats.org/officeDocument/2006/relationships" r:id="R9a0240097b3d4170"/>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7" hidden="0" customWidth="1"/>
    <x:col min="2" max="2" width="27" hidden="0" customWidth="1"/>
    <x:col min="3" max="3" width="45" hidden="0" customWidth="1"/>
    <x:col min="4" max="4" width="30" hidden="0" customWidth="1"/>
    <x:col min="5" max="5" width="27" hidden="0" customWidth="1"/>
    <x:col min="6" max="6" width="55" hidden="0" customWidth="1"/>
    <x:col min="7" max="7" width="48" hidden="0" customWidth="1"/>
    <x:col min="8" max="8" width="18" hidden="0" customWidth="1"/>
    <x:col min="9" max="9" width="25" hidden="0" customWidth="1"/>
    <x:col min="10" max="10" width="25" hidden="0" customWidth="1"/>
    <x:col min="11" max="11" width="26" hidden="0" customWidth="1"/>
    <x:col min="12" max="12" width="25" hidden="0" customWidth="1"/>
  </x:cols>
  <x:sheetData>
    <x:row r="1">
      <x:c r="A1" s="1"/>
      <x:c r="B1" s="1"/>
      <x:c r="C1" s="1"/>
      <x:c r="D1" s="1"/>
      <x:c r="E1" s="1"/>
      <x:c r="F1" s="1"/>
      <x:c r="G1" s="1"/>
      <x:c r="H1" s="1"/>
      <x:c r="I1" s="1"/>
      <x:c r="J1" s="1"/>
      <x:c r="K1" s="1"/>
      <x:c r="L1" s="1"/>
    </x:row>
    <x:row r="2">
      <x:c r="A2" s="2" t="str">
        <x:v>Sổ đăng ký bằng chứng</x:v>
      </x:c>
      <x:c r="B2" s="1"/>
      <x:c r="C2" s="1"/>
      <x:c r="D2" s="1"/>
      <x:c r="E2" s="1"/>
      <x:c r="F2" s="1"/>
      <x:c r="G2" s="1"/>
      <x:c r="H2" s="1"/>
      <x:c r="I2" s="1"/>
      <x:c r="J2" s="1"/>
      <x:c r="K2" s="1"/>
      <x:c r="L2" s="1"/>
    </x:row>
    <x:row r="3">
      <x:c r="A3" s="1" t="str">
        <x:v>Mã được đặt sẵn để nhập; không có tệp bằng chứng nào được giả định đã tồn tại. Không đưa mật khẩu, token, khóa bí mật vào workbook.</x:v>
      </x:c>
      <x:c r="B3" s="1"/>
      <x:c r="C3" s="1"/>
      <x:c r="D3" s="1"/>
      <x:c r="E3" s="1"/>
      <x:c r="F3" s="1"/>
      <x:c r="G3" s="1"/>
      <x:c r="H3" s="1"/>
      <x:c r="I3" s="1"/>
      <x:c r="J3" s="1"/>
      <x:c r="K3" s="1"/>
      <x:c r="L3" s="1"/>
    </x:row>
    <x:row r="4">
      <x:c r="A4" s="1"/>
      <x:c r="B4" s="1"/>
      <x:c r="C4" s="1"/>
      <x:c r="D4" s="1"/>
      <x:c r="E4" s="1"/>
      <x:c r="F4" s="1"/>
      <x:c r="G4" s="1"/>
      <x:c r="H4" s="1"/>
      <x:c r="I4" s="1"/>
      <x:c r="J4" s="1"/>
      <x:c r="K4" s="1"/>
      <x:c r="L4" s="1"/>
    </x:row>
    <x:row r="5" ht="40" customHeight="1">
      <x:c r="A5" s="7" t="str">
        <x:v>Mã bằng chứng</x:v>
      </x:c>
      <x:c r="B5" s="7" t="str">
        <x:v>Mã yêu cầu hoặc ca thử</x:v>
      </x:c>
      <x:c r="C5" s="7" t="str">
        <x:v>Tên nội dung</x:v>
      </x:c>
      <x:c r="D5" s="7" t="str">
        <x:v>Site hoặc phạm vi</x:v>
      </x:c>
      <x:c r="E5" s="7" t="str">
        <x:v>Loại bằng chứng</x:v>
      </x:c>
      <x:c r="F5" s="7" t="str">
        <x:v>Đường dẫn kho</x:v>
      </x:c>
      <x:c r="G5" s="7" t="str">
        <x:v>Phiên bản hoặc SHA256</x:v>
      </x:c>
      <x:c r="H5" s="7" t="str">
        <x:v>Ngày thu thập</x:v>
      </x:c>
      <x:c r="I5" s="7" t="str">
        <x:v>Người thu thập</x:v>
      </x:c>
      <x:c r="J5" s="7" t="str">
        <x:v>Người xác minh</x:v>
      </x:c>
      <x:c r="K5" s="7" t="str">
        <x:v>Mức bảo vệ</x:v>
      </x:c>
      <x:c r="L5" s="7" t="str">
        <x:v>Tình trạng</x:v>
      </x:c>
    </x:row>
    <x:row r="6" ht="98" customHeight="1">
      <x:c r="A6" s="8" t="str">
        <x:v>EV-001</x:v>
      </x:c>
      <x:c r="B6" s="9" t="str"/>
      <x:c r="C6" s="9" t="str"/>
      <x:c r="D6" s="9" t="str"/>
      <x:c r="E6" s="9" t="str"/>
      <x:c r="F6" s="9" t="str"/>
      <x:c r="G6" s="9" t="str"/>
      <x:c r="H6" s="10"/>
      <x:c r="I6" s="9" t="str"/>
      <x:c r="J6" s="9" t="str"/>
      <x:c r="K6" s="9" t="str"/>
      <x:c r="L6" s="9" t="str">
        <x:v>Chưa thu thập</x:v>
      </x:c>
    </x:row>
    <x:row r="7" ht="98" customHeight="1">
      <x:c r="A7" s="4" t="str">
        <x:v>EV-002</x:v>
      </x:c>
      <x:c r="B7" s="9" t="str"/>
      <x:c r="C7" s="9" t="str"/>
      <x:c r="D7" s="9" t="str"/>
      <x:c r="E7" s="9" t="str"/>
      <x:c r="F7" s="9" t="str"/>
      <x:c r="G7" s="9" t="str"/>
      <x:c r="H7" s="10"/>
      <x:c r="I7" s="9" t="str"/>
      <x:c r="J7" s="9" t="str"/>
      <x:c r="K7" s="9" t="str"/>
      <x:c r="L7" s="9" t="str">
        <x:v>Chưa thu thập</x:v>
      </x:c>
    </x:row>
    <x:row r="8" ht="98" customHeight="1">
      <x:c r="A8" s="8" t="str">
        <x:v>EV-003</x:v>
      </x:c>
      <x:c r="B8" s="9" t="str"/>
      <x:c r="C8" s="9" t="str"/>
      <x:c r="D8" s="9" t="str"/>
      <x:c r="E8" s="9" t="str"/>
      <x:c r="F8" s="9" t="str"/>
      <x:c r="G8" s="9" t="str"/>
      <x:c r="H8" s="10"/>
      <x:c r="I8" s="9" t="str"/>
      <x:c r="J8" s="9" t="str"/>
      <x:c r="K8" s="9" t="str"/>
      <x:c r="L8" s="9" t="str">
        <x:v>Chưa thu thập</x:v>
      </x:c>
    </x:row>
    <x:row r="9" ht="98" customHeight="1">
      <x:c r="A9" s="4" t="str">
        <x:v>EV-004</x:v>
      </x:c>
      <x:c r="B9" s="9" t="str"/>
      <x:c r="C9" s="9" t="str"/>
      <x:c r="D9" s="9" t="str"/>
      <x:c r="E9" s="9" t="str"/>
      <x:c r="F9" s="9" t="str"/>
      <x:c r="G9" s="9" t="str"/>
      <x:c r="H9" s="10"/>
      <x:c r="I9" s="9" t="str"/>
      <x:c r="J9" s="9" t="str"/>
      <x:c r="K9" s="9" t="str"/>
      <x:c r="L9" s="9" t="str">
        <x:v>Chưa thu thập</x:v>
      </x:c>
    </x:row>
    <x:row r="10" ht="98" customHeight="1">
      <x:c r="A10" s="8" t="str">
        <x:v>EV-005</x:v>
      </x:c>
      <x:c r="B10" s="9" t="str"/>
      <x:c r="C10" s="9" t="str"/>
      <x:c r="D10" s="9" t="str"/>
      <x:c r="E10" s="9" t="str"/>
      <x:c r="F10" s="9" t="str"/>
      <x:c r="G10" s="9" t="str"/>
      <x:c r="H10" s="10"/>
      <x:c r="I10" s="9" t="str"/>
      <x:c r="J10" s="9" t="str"/>
      <x:c r="K10" s="9" t="str"/>
      <x:c r="L10" s="9" t="str">
        <x:v>Chưa thu thập</x:v>
      </x:c>
    </x:row>
    <x:row r="11" ht="98" customHeight="1">
      <x:c r="A11" s="4" t="str">
        <x:v>EV-006</x:v>
      </x:c>
      <x:c r="B11" s="9" t="str"/>
      <x:c r="C11" s="9" t="str"/>
      <x:c r="D11" s="9" t="str"/>
      <x:c r="E11" s="9" t="str"/>
      <x:c r="F11" s="9" t="str"/>
      <x:c r="G11" s="9" t="str"/>
      <x:c r="H11" s="10"/>
      <x:c r="I11" s="9" t="str"/>
      <x:c r="J11" s="9" t="str"/>
      <x:c r="K11" s="9" t="str"/>
      <x:c r="L11" s="9" t="str">
        <x:v>Chưa thu thập</x:v>
      </x:c>
    </x:row>
    <x:row r="12" ht="98" customHeight="1">
      <x:c r="A12" s="8" t="str">
        <x:v>EV-007</x:v>
      </x:c>
      <x:c r="B12" s="9" t="str"/>
      <x:c r="C12" s="9" t="str"/>
      <x:c r="D12" s="9" t="str"/>
      <x:c r="E12" s="9" t="str"/>
      <x:c r="F12" s="9" t="str"/>
      <x:c r="G12" s="9" t="str"/>
      <x:c r="H12" s="10"/>
      <x:c r="I12" s="9" t="str"/>
      <x:c r="J12" s="9" t="str"/>
      <x:c r="K12" s="9" t="str"/>
      <x:c r="L12" s="9" t="str">
        <x:v>Chưa thu thập</x:v>
      </x:c>
    </x:row>
    <x:row r="13" ht="98" customHeight="1">
      <x:c r="A13" s="4" t="str">
        <x:v>EV-008</x:v>
      </x:c>
      <x:c r="B13" s="9" t="str"/>
      <x:c r="C13" s="9" t="str"/>
      <x:c r="D13" s="9" t="str"/>
      <x:c r="E13" s="9" t="str"/>
      <x:c r="F13" s="9" t="str"/>
      <x:c r="G13" s="9" t="str"/>
      <x:c r="H13" s="10"/>
      <x:c r="I13" s="9" t="str"/>
      <x:c r="J13" s="9" t="str"/>
      <x:c r="K13" s="9" t="str"/>
      <x:c r="L13" s="9" t="str">
        <x:v>Chưa thu thập</x:v>
      </x:c>
    </x:row>
    <x:row r="14" ht="98" customHeight="1">
      <x:c r="A14" s="8" t="str">
        <x:v>EV-009</x:v>
      </x:c>
      <x:c r="B14" s="9" t="str"/>
      <x:c r="C14" s="9" t="str"/>
      <x:c r="D14" s="9" t="str"/>
      <x:c r="E14" s="9" t="str"/>
      <x:c r="F14" s="9" t="str"/>
      <x:c r="G14" s="9" t="str"/>
      <x:c r="H14" s="10"/>
      <x:c r="I14" s="9" t="str"/>
      <x:c r="J14" s="9" t="str"/>
      <x:c r="K14" s="9" t="str"/>
      <x:c r="L14" s="9" t="str">
        <x:v>Chưa thu thập</x:v>
      </x:c>
    </x:row>
    <x:row r="15" ht="98" customHeight="1">
      <x:c r="A15" s="4" t="str">
        <x:v>EV-010</x:v>
      </x:c>
      <x:c r="B15" s="9" t="str"/>
      <x:c r="C15" s="9" t="str"/>
      <x:c r="D15" s="9" t="str"/>
      <x:c r="E15" s="9" t="str"/>
      <x:c r="F15" s="9" t="str"/>
      <x:c r="G15" s="9" t="str"/>
      <x:c r="H15" s="10"/>
      <x:c r="I15" s="9" t="str"/>
      <x:c r="J15" s="9" t="str"/>
      <x:c r="K15" s="9" t="str"/>
      <x:c r="L15" s="9" t="str">
        <x:v>Chưa thu thập</x:v>
      </x:c>
    </x:row>
    <x:row r="16" ht="98" customHeight="1">
      <x:c r="A16" s="8" t="str">
        <x:v>EV-011</x:v>
      </x:c>
      <x:c r="B16" s="9" t="str"/>
      <x:c r="C16" s="9" t="str"/>
      <x:c r="D16" s="9" t="str"/>
      <x:c r="E16" s="9" t="str"/>
      <x:c r="F16" s="9" t="str"/>
      <x:c r="G16" s="9" t="str"/>
      <x:c r="H16" s="10"/>
      <x:c r="I16" s="9" t="str"/>
      <x:c r="J16" s="9" t="str"/>
      <x:c r="K16" s="9" t="str"/>
      <x:c r="L16" s="9" t="str">
        <x:v>Chưa thu thập</x:v>
      </x:c>
    </x:row>
    <x:row r="17" ht="98" customHeight="1">
      <x:c r="A17" s="4" t="str">
        <x:v>EV-012</x:v>
      </x:c>
      <x:c r="B17" s="9" t="str"/>
      <x:c r="C17" s="9" t="str"/>
      <x:c r="D17" s="9" t="str"/>
      <x:c r="E17" s="9" t="str"/>
      <x:c r="F17" s="9" t="str"/>
      <x:c r="G17" s="9" t="str"/>
      <x:c r="H17" s="10"/>
      <x:c r="I17" s="9" t="str"/>
      <x:c r="J17" s="9" t="str"/>
      <x:c r="K17" s="9" t="str"/>
      <x:c r="L17" s="9" t="str">
        <x:v>Chưa thu thập</x:v>
      </x:c>
    </x:row>
    <x:row r="18" ht="98" customHeight="1">
      <x:c r="A18" s="8" t="str">
        <x:v>EV-013</x:v>
      </x:c>
      <x:c r="B18" s="9" t="str"/>
      <x:c r="C18" s="9" t="str"/>
      <x:c r="D18" s="9" t="str"/>
      <x:c r="E18" s="9" t="str"/>
      <x:c r="F18" s="9" t="str"/>
      <x:c r="G18" s="9" t="str"/>
      <x:c r="H18" s="10"/>
      <x:c r="I18" s="9" t="str"/>
      <x:c r="J18" s="9" t="str"/>
      <x:c r="K18" s="9" t="str"/>
      <x:c r="L18" s="9" t="str">
        <x:v>Chưa thu thập</x:v>
      </x:c>
    </x:row>
    <x:row r="19" ht="98" customHeight="1">
      <x:c r="A19" s="4" t="str">
        <x:v>EV-014</x:v>
      </x:c>
      <x:c r="B19" s="9" t="str"/>
      <x:c r="C19" s="9" t="str"/>
      <x:c r="D19" s="9" t="str"/>
      <x:c r="E19" s="9" t="str"/>
      <x:c r="F19" s="9" t="str"/>
      <x:c r="G19" s="9" t="str"/>
      <x:c r="H19" s="10"/>
      <x:c r="I19" s="9" t="str"/>
      <x:c r="J19" s="9" t="str"/>
      <x:c r="K19" s="9" t="str"/>
      <x:c r="L19" s="9" t="str">
        <x:v>Chưa thu thập</x:v>
      </x:c>
    </x:row>
    <x:row r="20" ht="98" customHeight="1">
      <x:c r="A20" s="8" t="str">
        <x:v>EV-015</x:v>
      </x:c>
      <x:c r="B20" s="9" t="str"/>
      <x:c r="C20" s="9" t="str"/>
      <x:c r="D20" s="9" t="str"/>
      <x:c r="E20" s="9" t="str"/>
      <x:c r="F20" s="9" t="str"/>
      <x:c r="G20" s="9" t="str"/>
      <x:c r="H20" s="10"/>
      <x:c r="I20" s="9" t="str"/>
      <x:c r="J20" s="9" t="str"/>
      <x:c r="K20" s="9" t="str"/>
      <x:c r="L20" s="9" t="str">
        <x:v>Chưa thu thập</x:v>
      </x:c>
    </x:row>
    <x:row r="21" ht="98" customHeight="1">
      <x:c r="A21" s="4" t="str">
        <x:v>EV-016</x:v>
      </x:c>
      <x:c r="B21" s="9" t="str"/>
      <x:c r="C21" s="9" t="str"/>
      <x:c r="D21" s="9" t="str"/>
      <x:c r="E21" s="9" t="str"/>
      <x:c r="F21" s="9" t="str"/>
      <x:c r="G21" s="9" t="str"/>
      <x:c r="H21" s="10"/>
      <x:c r="I21" s="9" t="str"/>
      <x:c r="J21" s="9" t="str"/>
      <x:c r="K21" s="9" t="str"/>
      <x:c r="L21" s="9" t="str">
        <x:v>Chưa thu thập</x:v>
      </x:c>
    </x:row>
    <x:row r="22" ht="98" customHeight="1">
      <x:c r="A22" s="8" t="str">
        <x:v>EV-017</x:v>
      </x:c>
      <x:c r="B22" s="9" t="str"/>
      <x:c r="C22" s="9" t="str"/>
      <x:c r="D22" s="9" t="str"/>
      <x:c r="E22" s="9" t="str"/>
      <x:c r="F22" s="9" t="str"/>
      <x:c r="G22" s="9" t="str"/>
      <x:c r="H22" s="10"/>
      <x:c r="I22" s="9" t="str"/>
      <x:c r="J22" s="9" t="str"/>
      <x:c r="K22" s="9" t="str"/>
      <x:c r="L22" s="9" t="str">
        <x:v>Chưa thu thập</x:v>
      </x:c>
    </x:row>
    <x:row r="23" ht="98" customHeight="1">
      <x:c r="A23" s="4" t="str">
        <x:v>EV-018</x:v>
      </x:c>
      <x:c r="B23" s="9" t="str"/>
      <x:c r="C23" s="9" t="str"/>
      <x:c r="D23" s="9" t="str"/>
      <x:c r="E23" s="9" t="str"/>
      <x:c r="F23" s="9" t="str"/>
      <x:c r="G23" s="9" t="str"/>
      <x:c r="H23" s="10"/>
      <x:c r="I23" s="9" t="str"/>
      <x:c r="J23" s="9" t="str"/>
      <x:c r="K23" s="9" t="str"/>
      <x:c r="L23" s="9" t="str">
        <x:v>Chưa thu thập</x:v>
      </x:c>
    </x:row>
    <x:row r="24" ht="98" customHeight="1">
      <x:c r="A24" s="8" t="str">
        <x:v>EV-019</x:v>
      </x:c>
      <x:c r="B24" s="9" t="str"/>
      <x:c r="C24" s="9" t="str"/>
      <x:c r="D24" s="9" t="str"/>
      <x:c r="E24" s="9" t="str"/>
      <x:c r="F24" s="9" t="str"/>
      <x:c r="G24" s="9" t="str"/>
      <x:c r="H24" s="10"/>
      <x:c r="I24" s="9" t="str"/>
      <x:c r="J24" s="9" t="str"/>
      <x:c r="K24" s="9" t="str"/>
      <x:c r="L24" s="9" t="str">
        <x:v>Chưa thu thập</x:v>
      </x:c>
    </x:row>
    <x:row r="25" ht="98" customHeight="1">
      <x:c r="A25" s="4" t="str">
        <x:v>EV-020</x:v>
      </x:c>
      <x:c r="B25" s="9" t="str"/>
      <x:c r="C25" s="9" t="str"/>
      <x:c r="D25" s="9" t="str"/>
      <x:c r="E25" s="9" t="str"/>
      <x:c r="F25" s="9" t="str"/>
      <x:c r="G25" s="9" t="str"/>
      <x:c r="H25" s="10"/>
      <x:c r="I25" s="9" t="str"/>
      <x:c r="J25" s="9" t="str"/>
      <x:c r="K25" s="9" t="str"/>
      <x:c r="L25" s="9" t="str">
        <x:v>Chưa thu thập</x:v>
      </x:c>
    </x:row>
    <x:row r="26" ht="98" customHeight="1">
      <x:c r="A26" s="8" t="str">
        <x:v>EV-021</x:v>
      </x:c>
      <x:c r="B26" s="9" t="str"/>
      <x:c r="C26" s="9" t="str"/>
      <x:c r="D26" s="9" t="str"/>
      <x:c r="E26" s="9" t="str"/>
      <x:c r="F26" s="9" t="str"/>
      <x:c r="G26" s="9" t="str"/>
      <x:c r="H26" s="10"/>
      <x:c r="I26" s="9" t="str"/>
      <x:c r="J26" s="9" t="str"/>
      <x:c r="K26" s="9" t="str"/>
      <x:c r="L26" s="9" t="str">
        <x:v>Chưa thu thập</x:v>
      </x:c>
    </x:row>
    <x:row r="27" ht="98" customHeight="1">
      <x:c r="A27" s="4" t="str">
        <x:v>EV-022</x:v>
      </x:c>
      <x:c r="B27" s="9" t="str"/>
      <x:c r="C27" s="9" t="str"/>
      <x:c r="D27" s="9" t="str"/>
      <x:c r="E27" s="9" t="str"/>
      <x:c r="F27" s="9" t="str"/>
      <x:c r="G27" s="9" t="str"/>
      <x:c r="H27" s="10"/>
      <x:c r="I27" s="9" t="str"/>
      <x:c r="J27" s="9" t="str"/>
      <x:c r="K27" s="9" t="str"/>
      <x:c r="L27" s="9" t="str">
        <x:v>Chưa thu thập</x:v>
      </x:c>
    </x:row>
    <x:row r="28" ht="98" customHeight="1">
      <x:c r="A28" s="8" t="str">
        <x:v>EV-023</x:v>
      </x:c>
      <x:c r="B28" s="9" t="str"/>
      <x:c r="C28" s="9" t="str"/>
      <x:c r="D28" s="9" t="str"/>
      <x:c r="E28" s="9" t="str"/>
      <x:c r="F28" s="9" t="str"/>
      <x:c r="G28" s="9" t="str"/>
      <x:c r="H28" s="10"/>
      <x:c r="I28" s="9" t="str"/>
      <x:c r="J28" s="9" t="str"/>
      <x:c r="K28" s="9" t="str"/>
      <x:c r="L28" s="9" t="str">
        <x:v>Chưa thu thập</x:v>
      </x:c>
    </x:row>
    <x:row r="29" ht="98" customHeight="1">
      <x:c r="A29" s="4" t="str">
        <x:v>EV-024</x:v>
      </x:c>
      <x:c r="B29" s="9" t="str"/>
      <x:c r="C29" s="9" t="str"/>
      <x:c r="D29" s="9" t="str"/>
      <x:c r="E29" s="9" t="str"/>
      <x:c r="F29" s="9" t="str"/>
      <x:c r="G29" s="9" t="str"/>
      <x:c r="H29" s="10"/>
      <x:c r="I29" s="9" t="str"/>
      <x:c r="J29" s="9" t="str"/>
      <x:c r="K29" s="9" t="str"/>
      <x:c r="L29" s="9" t="str">
        <x:v>Chưa thu thập</x:v>
      </x:c>
    </x:row>
    <x:row r="30" ht="98" customHeight="1">
      <x:c r="A30" s="8" t="str">
        <x:v>EV-025</x:v>
      </x:c>
      <x:c r="B30" s="9" t="str"/>
      <x:c r="C30" s="9" t="str"/>
      <x:c r="D30" s="9" t="str"/>
      <x:c r="E30" s="9" t="str"/>
      <x:c r="F30" s="9" t="str"/>
      <x:c r="G30" s="9" t="str"/>
      <x:c r="H30" s="10"/>
      <x:c r="I30" s="9" t="str"/>
      <x:c r="J30" s="9" t="str"/>
      <x:c r="K30" s="9" t="str"/>
      <x:c r="L30" s="9" t="str">
        <x:v>Chưa thu thập</x:v>
      </x:c>
    </x:row>
    <x:row r="31" ht="98" customHeight="1">
      <x:c r="A31" s="4" t="str">
        <x:v>EV-026</x:v>
      </x:c>
      <x:c r="B31" s="9" t="str"/>
      <x:c r="C31" s="9" t="str"/>
      <x:c r="D31" s="9" t="str"/>
      <x:c r="E31" s="9" t="str"/>
      <x:c r="F31" s="9" t="str"/>
      <x:c r="G31" s="9" t="str"/>
      <x:c r="H31" s="10"/>
      <x:c r="I31" s="9" t="str"/>
      <x:c r="J31" s="9" t="str"/>
      <x:c r="K31" s="9" t="str"/>
      <x:c r="L31" s="9" t="str">
        <x:v>Chưa thu thập</x:v>
      </x:c>
    </x:row>
    <x:row r="32" ht="98" customHeight="1">
      <x:c r="A32" s="8" t="str">
        <x:v>EV-027</x:v>
      </x:c>
      <x:c r="B32" s="9" t="str"/>
      <x:c r="C32" s="9" t="str"/>
      <x:c r="D32" s="9" t="str"/>
      <x:c r="E32" s="9" t="str"/>
      <x:c r="F32" s="9" t="str"/>
      <x:c r="G32" s="9" t="str"/>
      <x:c r="H32" s="10"/>
      <x:c r="I32" s="9" t="str"/>
      <x:c r="J32" s="9" t="str"/>
      <x:c r="K32" s="9" t="str"/>
      <x:c r="L32" s="9" t="str">
        <x:v>Chưa thu thập</x:v>
      </x:c>
    </x:row>
    <x:row r="33" ht="98" customHeight="1">
      <x:c r="A33" s="4" t="str">
        <x:v>EV-028</x:v>
      </x:c>
      <x:c r="B33" s="9" t="str"/>
      <x:c r="C33" s="9" t="str"/>
      <x:c r="D33" s="9" t="str"/>
      <x:c r="E33" s="9" t="str"/>
      <x:c r="F33" s="9" t="str"/>
      <x:c r="G33" s="9" t="str"/>
      <x:c r="H33" s="10"/>
      <x:c r="I33" s="9" t="str"/>
      <x:c r="J33" s="9" t="str"/>
      <x:c r="K33" s="9" t="str"/>
      <x:c r="L33" s="9" t="str">
        <x:v>Chưa thu thập</x:v>
      </x:c>
    </x:row>
    <x:row r="34" ht="98" customHeight="1">
      <x:c r="A34" s="8" t="str">
        <x:v>EV-029</x:v>
      </x:c>
      <x:c r="B34" s="9" t="str"/>
      <x:c r="C34" s="9" t="str"/>
      <x:c r="D34" s="9" t="str"/>
      <x:c r="E34" s="9" t="str"/>
      <x:c r="F34" s="9" t="str"/>
      <x:c r="G34" s="9" t="str"/>
      <x:c r="H34" s="10"/>
      <x:c r="I34" s="9" t="str"/>
      <x:c r="J34" s="9" t="str"/>
      <x:c r="K34" s="9" t="str"/>
      <x:c r="L34" s="9" t="str">
        <x:v>Chưa thu thập</x:v>
      </x:c>
    </x:row>
    <x:row r="35" ht="98" customHeight="1">
      <x:c r="A35" s="4" t="str">
        <x:v>EV-030</x:v>
      </x:c>
      <x:c r="B35" s="9" t="str"/>
      <x:c r="C35" s="9" t="str"/>
      <x:c r="D35" s="9" t="str"/>
      <x:c r="E35" s="9" t="str"/>
      <x:c r="F35" s="9" t="str"/>
      <x:c r="G35" s="9" t="str"/>
      <x:c r="H35" s="10"/>
      <x:c r="I35" s="9" t="str"/>
      <x:c r="J35" s="9" t="str"/>
      <x:c r="K35" s="9" t="str"/>
      <x:c r="L35" s="9" t="str">
        <x:v>Chưa thu thập</x:v>
      </x:c>
    </x:row>
  </x:sheetData>
  <x:dataValidations count="1">
    <x:dataValidation type="list" sqref="L6:L35">
      <x:formula1>"Chưa thu thập,Đã thu thập,Đã xác minh,Cần bổ sung"</x:formula1>
    </x:dataValidation>
  </x:dataValidations>
  <x:pageMargins left="0.7" right="0.7" top="0.75" bottom="0.75" header="0.3" footer="0.3"/>
  <x:tableParts count="1">
    <x:tablePart xmlns:r="http://schemas.openxmlformats.org/officeDocument/2006/relationships" r:id="R789233708e30444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95" hidden="0" customWidth="1"/>
    <x:col min="3" max="3" width="55" hidden="0" customWidth="1"/>
    <x:col min="4" max="4" width="65" hidden="0" customWidth="1"/>
    <x:col min="5" max="5" width="75" hidden="0" customWidth="1"/>
    <x:col min="6" max="6" width="16" hidden="0" customWidth="1"/>
  </x:cols>
  <x:sheetData>
    <x:row r="1">
      <x:c r="A1" s="1"/>
      <x:c r="B1" s="1"/>
      <x:c r="C1" s="1"/>
      <x:c r="D1" s="1"/>
      <x:c r="E1" s="1"/>
      <x:c r="F1" s="1"/>
    </x:row>
    <x:row r="2">
      <x:c r="A2" s="2" t="str">
        <x:v>Hướng dẫn rà soát và nguồn tham chiếu</x:v>
      </x:c>
      <x:c r="B2" s="1"/>
      <x:c r="C2" s="1"/>
      <x:c r="D2" s="1"/>
      <x:c r="E2" s="1"/>
      <x:c r="F2" s="1"/>
    </x:row>
    <x:row r="3">
      <x:c r="A3" s="1"/>
      <x:c r="B3" s="1"/>
      <x:c r="C3" s="1"/>
      <x:c r="D3" s="1"/>
      <x:c r="E3" s="1"/>
      <x:c r="F3" s="1"/>
    </x:row>
    <x:row r="4">
      <x:c r="A4" s="1" t="str">
        <x:v>Ngày chốt báo cáo</x:v>
      </x:c>
      <x:c r="B4" s="13" t="d">
        <x:v>2026-10-17T00:00:00.000Z</x:v>
      </x:c>
      <x:c r="C4" s="1"/>
      <x:c r="D4" s="1"/>
      <x:c r="E4" s="1"/>
      <x:c r="F4" s="1"/>
    </x:row>
    <x:row r="5">
      <x:c r="A5" s="1"/>
      <x:c r="B5" s="1"/>
      <x:c r="C5" s="1"/>
      <x:c r="D5" s="1"/>
      <x:c r="E5" s="1"/>
      <x:c r="F5" s="1"/>
    </x:row>
    <x:row r="6">
      <x:c r="A6" s="1"/>
      <x:c r="B6" s="1"/>
      <x:c r="C6" s="1"/>
      <x:c r="D6" s="1"/>
      <x:c r="E6" s="1"/>
      <x:c r="F6" s="1"/>
    </x:row>
    <x:row r="7" ht="72" customHeight="1">
      <x:c r="A7" s="15" t="str">
        <x:v>Phạm vi</x:v>
      </x:c>
      <x:c r="B7" s="14" t="str">
        <x:v>Toàn bộ XOR STACK CLOUD và quản trị chung; DC Cầu Giấy, DR Nam Thăng Long. Hồ sơ lần đầu.</x:v>
      </x:c>
      <x:c r="C7" s="1"/>
      <x:c r="D7" s="1"/>
      <x:c r="E7" s="1"/>
      <x:c r="F7" s="1"/>
    </x:row>
    <x:row r="8" ht="72" customHeight="1">
      <x:c r="A8" s="15" t="str">
        <x:v>Trạng thái ban đầu</x:v>
      </x:c>
      <x:c r="B8" s="14" t="str">
        <x:v>Không có kết quả kiểm tra thực tế được đưa vào. Các kiểm soát đang chờ xác minh.</x:v>
      </x:c>
      <x:c r="C8" s="1"/>
      <x:c r="D8" s="1"/>
      <x:c r="E8" s="1"/>
      <x:c r="F8" s="1"/>
    </x:row>
    <x:row r="9" ht="72" customHeight="1">
      <x:c r="A9" s="15" t="str">
        <x:v>Quy trình sử dụng</x:v>
      </x:c>
      <x:c r="B9" s="14" t="str">
        <x:v>1 Chốt phạm vi. 2 Giao người. 3 Kiểm tra. 4 Thu bằng chứng. 5 Xác nhận độc lập. 6 Khắc phục và retest.</x:v>
      </x:c>
      <x:c r="C9" s="1"/>
      <x:c r="D9" s="1"/>
      <x:c r="E9" s="1"/>
      <x:c r="F9" s="1"/>
    </x:row>
    <x:row r="10" ht="72" customHeight="1">
      <x:c r="A10" s="15" t="str">
        <x:v>Ô nhập</x:v>
      </x:c>
      <x:c r="B10" s="14" t="str">
        <x:v>Ô vàng là đầu vào. Không ghi đè cột trạng thái có công thức. Ngày phải là ngày Excel, không phải chuỗi văn bản.</x:v>
      </x:c>
      <x:c r="C10" s="1"/>
      <x:c r="D10" s="1"/>
      <x:c r="E10" s="1"/>
      <x:c r="F10" s="1"/>
    </x:row>
    <x:row r="11" ht="72" customHeight="1">
      <x:c r="A11" s="15" t="str">
        <x:v>Đủ hồ sơ kiểm tra</x:v>
      </x:c>
      <x:c r="B11" s="14" t="str">
        <x:v>Áp dụng Có; triển khai Đầy đủ; có mã/link bằng chứng; kết quả Đạt; có người và ngày kiểm tra hợp lệ. Công thức chỉ kiểm tra dữ liệu khai báo, không xác thực nội dung tệp.</x:v>
      </x:c>
      <x:c r="C11" s="1"/>
      <x:c r="D11" s="1"/>
      <x:c r="E11" s="1"/>
      <x:c r="F11" s="1"/>
    </x:row>
    <x:row r="12" ht="72" customHeight="1">
      <x:c r="A12" s="15" t="str">
        <x:v>Không áp dụng</x:v>
      </x:c>
      <x:c r="B12" s="14" t="str">
        <x:v>Phải có lý do và phê duyệt tại cột S, người xác nhận và ngày. Không loại mục do chưa triển khai hoặc thiếu ngân sách.</x:v>
      </x:c>
      <x:c r="C12" s="1"/>
      <x:c r="D12" s="1"/>
      <x:c r="E12" s="1"/>
      <x:c r="F12" s="1"/>
    </x:row>
    <x:row r="13" ht="72" customHeight="1">
      <x:c r="A13" s="15" t="str">
        <x:v>Phạm vi hai IDC</x:v>
      </x:c>
      <x:c r="B13" s="14" t="str">
        <x:v>Bằng chứng phải bao phủ cả hai site. Nếu kiểm tra riêng, ghi rõ kết quả DC và DR trong mô tả/kho bằng chứng; chỉ hoàn tất khi cả hai đáp ứng phạm vi.</x:v>
      </x:c>
      <x:c r="C13" s="1"/>
      <x:c r="D13" s="1"/>
      <x:c r="E13" s="1"/>
      <x:c r="F13" s="1"/>
    </x:row>
    <x:row r="14" ht="72" customHeight="1">
      <x:c r="A14" s="15" t="str">
        <x:v>Điểm TCVN</x:v>
      </x:c>
      <x:c r="B14" s="14" t="str">
        <x:v>119 điểm kiểm tra phủ các tiểu mục đánh số Điều 6.1 đến 6.18 và A.4. Các ý a/b/c được diễn giải trong cùng dòng hoặc tách theo nội dung; đối chiếu đầy đủ bản tiêu chuẩn được cấp phép khi kết luận.</x:v>
      </x:c>
      <x:c r="C14" s="1"/>
      <x:c r="D14" s="1"/>
      <x:c r="E14" s="1"/>
      <x:c r="F14" s="1"/>
    </x:row>
    <x:row r="15" ht="72" customHeight="1">
      <x:c r="A15" s="15" t="str">
        <x:v>Điểm Cloud</x:v>
      </x:c>
      <x:c r="B15" s="14" t="str">
        <x:v>18 điểm bổ sung; CL-01 đến CL-08 là kiểm tra thiết kế XOR. CL-09 đến CL-18 có tham khảo dự thảo, mặc định chưa chốt áp dụng; không phải checklist đầy đủ để chứng nhận Hạng B hoặc Mức 4 của dự thảo.</x:v>
      </x:c>
      <x:c r="C15" s="1"/>
      <x:c r="D15" s="1"/>
      <x:c r="E15" s="1"/>
      <x:c r="F15" s="1"/>
    </x:row>
    <x:row r="16" ht="72" customHeight="1">
      <x:c r="A16" s="15" t="str">
        <x:v>Bằng chứng</x:v>
      </x:c>
      <x:c r="B16" s="14" t="str">
        <x:v>Một mã có thể liên kết nhiều kiểm soát. Ghi phạm vi, phiên bản, ngày, người lập/xác minh và đường dẫn kho được cấp quyền. Che bí mật và dữ liệu khách hàng không cần thiết.</x:v>
      </x:c>
      <x:c r="C16" s="1"/>
      <x:c r="D16" s="1"/>
      <x:c r="E16" s="1"/>
      <x:c r="F16" s="1"/>
    </x:row>
    <x:row r="17" ht="72" customHeight="1">
      <x:c r="A17" s="15" t="str">
        <x:v>Mở rộng bảng</x:v>
      </x:c>
      <x:c r="B17" s="14" t="str">
        <x:v>Có thể chèn dòng trong bảng và điền mã duy nhất. Khi mở rộng, sao chép công thức/validation từ dòng liền kề và cập nhật phạm vi tổng hợp; bản này tính trên tập dòng đã lập.</x:v>
      </x:c>
      <x:c r="C17" s="1"/>
      <x:c r="D17" s="1"/>
      <x:c r="E17" s="1"/>
      <x:c r="F17" s="1"/>
    </x:row>
    <x:row r="18" ht="72" customHeight="1">
      <x:c r="A18" s="15" t="str">
        <x:v>Khả năng rủi ro</x:v>
      </x:c>
      <x:c r="B18" s="14" t="str">
        <x:v>Thang nội bộ đề xuất: 1 hiếm; 2 ít khả năng; 3 có thể; 4 có khả năng cao; 5 thường xuyên. Ghi căn cứ từ lịch sử, phơi nhiễm và lỗ hổng.</x:v>
      </x:c>
      <x:c r="C18" s="1"/>
      <x:c r="D18" s="1"/>
      <x:c r="E18" s="1"/>
      <x:c r="F18" s="1"/>
    </x:row>
    <x:row r="19" ht="72" customHeight="1">
      <x:c r="A19" s="15" t="str">
        <x:v>Tác động rủi ro</x:v>
      </x:c>
      <x:c r="B19" s="14" t="str">
        <x:v>1 không đáng kể; 2 cục bộ dễ phục hồi; 3 ảnh hưởng đáng kể một dịch vụ/nhóm; 4 nghiêm trọng nhiều tenant/dữ liệu; 5 diện rộng hoặc hậu quả đặc biệt nghiêm trọng. Chấm mức cao nhất giữa bí mật, toàn vẹn, sẵn sàng, pháp lý và ảnh hưởng công cộng/xã hội/an ninh.</x:v>
      </x:c>
      <x:c r="C19" s="1"/>
      <x:c r="D19" s="1"/>
      <x:c r="E19" s="1"/>
      <x:c r="F19" s="1"/>
    </x:row>
    <x:row r="20" ht="72" customHeight="1">
      <x:c r="A20" s="15" t="str">
        <x:v>Xếp loại nội bộ</x:v>
      </x:c>
      <x:c r="B20" s="14" t="str">
        <x:v>Điểm = khả năng × tác động. 1–4 Thấp; 5–9 Trung bình; 10–16 Cao; 17–25 Rất cao. Chủ quản phải phê duyệt thang và cách xử lý; không thay tiêu chí Điều 14.</x:v>
      </x:c>
      <x:c r="C20" s="1"/>
      <x:c r="D20" s="1"/>
      <x:c r="E20" s="1"/>
      <x:c r="F20" s="1"/>
    </x:row>
    <x:row r="21" ht="72" customHeight="1">
      <x:c r="A21" s="15" t="str">
        <x:v>RPO RTO MTD</x:v>
      </x:c>
      <x:c r="B21" s="14" t="str">
        <x:v>BIA điền phút. RTO không vượt MTD. RPO phản ánh mất dữ liệu, không đồng nhất thời gian khôi phục; cần bằng chứng đo và mục tiêu theo từng dịch vụ.</x:v>
      </x:c>
      <x:c r="C21" s="1"/>
      <x:c r="D21" s="1"/>
      <x:c r="E21" s="1"/>
      <x:c r="F21" s="1"/>
    </x:row>
    <x:row r="22" ht="72" customHeight="1">
      <x:c r="A22" s="15" t="str">
        <x:v>Phê duyệt cấp độ</x:v>
      </x:c>
      <x:c r="B22" s="14" t="str">
        <x:v>Cấp độ 4 thông thường: ý kiến chuyên trách → Bộ Công an chủ trì thẩm định → chủ quản phê duyệt. Trường hợp quân sự/cơ yếu có thẩm quyền riêng. Công bố nội bộ không thay thủ tục này.</x:v>
      </x:c>
      <x:c r="C22" s="1"/>
      <x:c r="D22" s="1"/>
      <x:c r="E22" s="1"/>
      <x:c r="F22" s="1"/>
    </x:row>
    <x:row r="23" ht="72" customHeight="1">
      <x:c r="A23" s="15" t="str">
        <x:v>Dữ liệu pháp nhân</x:v>
      </x:c>
      <x:c r="B23" s="14" t="str">
        <x:v>Chờ đúng tệp Word người dùng viện dẫn. Không tự suy diễn tên pháp nhân, người ký hoặc quyền ký từ thương hiệu XOR.</x:v>
      </x:c>
      <x:c r="C23" s="1"/>
      <x:c r="D23" s="1"/>
      <x:c r="E23" s="1"/>
      <x:c r="F23" s="1"/>
    </x:row>
    <x:row r="24">
      <x:c r="A24" s="1"/>
      <x:c r="B24" s="1"/>
      <x:c r="C24" s="1"/>
      <x:c r="D24" s="1"/>
      <x:c r="E24" s="1"/>
      <x:c r="F24" s="1"/>
    </x:row>
    <x:row r="25">
      <x:c r="A25" s="1"/>
      <x:c r="B25" s="1"/>
      <x:c r="C25" s="1"/>
      <x:c r="D25" s="1"/>
      <x:c r="E25" s="1"/>
      <x:c r="F25" s="1"/>
    </x:row>
    <x:row r="26">
      <x:c r="A26" s="1"/>
      <x:c r="B26" s="1"/>
      <x:c r="C26" s="1"/>
      <x:c r="D26" s="1"/>
      <x:c r="E26" s="1"/>
      <x:c r="F26" s="1"/>
    </x:row>
    <x:row r="27" ht="32" customHeight="1">
      <x:c r="A27" s="7" t="str">
        <x:v>Mã</x:v>
      </x:c>
      <x:c r="B27" s="7" t="str">
        <x:v>Nguồn</x:v>
      </x:c>
      <x:c r="C27" s="7" t="str">
        <x:v>Vị trí tham chiếu</x:v>
      </x:c>
      <x:c r="D27" s="7" t="str">
        <x:v>Liên kết hoặc bản nguồn</x:v>
      </x:c>
      <x:c r="E27" s="7" t="str">
        <x:v>Ghi chú</x:v>
      </x:c>
      <x:c r="F27" s="1"/>
    </x:row>
    <x:row r="28" ht="112" customHeight="1">
      <x:c r="A28" s="14" t="str">
        <x:v>S1</x:v>
      </x:c>
      <x:c r="B28" s="14" t="str">
        <x:v>Nghị định 331/2026/NĐ-CP</x:v>
      </x:c>
      <x:c r="C28" s="14" t="str">
        <x:v>Điều 14, 18, 20–24; Phụ lục Mẫu 02, 03, 05, 06; PDF tr.9,11–17,32–40</x:v>
      </x:c>
      <x:c r="D28" s="14" t="str">
        <x:v>https://vanban.chinhphu.vn/?docid=219243&amp;pageid=27160</x:v>
      </x:c>
      <x:c r="E28" s="14" t="str">
        <x:v>Hiệu lực 19/8/2026; xác minh nguồn chính thức ngày 17/10/2026.</x:v>
      </x:c>
      <x:c r="F28" s="1"/>
    </x:row>
    <x:row r="29" ht="112" customHeight="1">
      <x:c r="A29" s="14" t="str">
        <x:v>S2</x:v>
      </x:c>
      <x:c r="B29" s="14" t="str">
        <x:v>TCVN 14423:2026</x:v>
      </x:c>
      <x:c r="C29" s="14" t="str">
        <x:v>Điều 6 tr.58–81; A.4 tr.109–111</x:v>
      </x:c>
      <x:c r="D29" s="14" t="str">
        <x:v>Bản được cấp phép nội bộ</x:v>
      </x:c>
      <x:c r="E29" s="14" t="str">
        <x:v>SHA-256 76c6c11eadf8aec7f0b95940463ac715df50c6356e234492e54d6e9f78c8647c; đã xem ảnh trang gốc.</x:v>
      </x:c>
      <x:c r="F29" s="1"/>
    </x:row>
    <x:row r="30" ht="112" customHeight="1">
      <x:c r="A30" s="14" t="str">
        <x:v>S3</x:v>
      </x:c>
      <x:c r="B30" s="14" t="str">
        <x:v>Dự thảo TCVN Cloud năm 2026</x:v>
      </x:c>
      <x:c r="C30" s="14" t="str">
        <x:v>Điều 4, 5; phần tham khảo bổ sung</x:v>
      </x:c>
      <x:c r="D30" s="14" t="str">
        <x:v>Bản dự thảo 153 trang</x:v>
      </x:c>
      <x:c r="E30" s="14" t="str">
        <x:v>Chưa có số tiêu chuẩn; không dùng làm căn cứ pháp lý bắt buộc hoặc kết luận chứng nhận.</x:v>
      </x:c>
      <x:c r="F30" s="1"/>
    </x:row>
    <x:row r="31" ht="112" customHeight="1">
      <x:c r="A31" s="14" t="str">
        <x:v>S4</x:v>
      </x:c>
      <x:c r="B31" s="14" t="str">
        <x:v>Thông tin người dùng</x:v>
      </x:c>
      <x:c r="C31" s="14" t="str">
        <x:v>Ngày 17/10/2026</x:v>
      </x:c>
      <x:c r="D31" s="14" t="str">
        <x:v>Xác nhận trực tiếp</x:v>
      </x:c>
      <x:c r="E31" s="14" t="str">
        <x:v>XOR STACK dựa OpenStack; toàn nền tảng; DC Cầu Giấy, DR Nam Thăng Long; hồ sơ lần đầu.</x:v>
      </x:c>
      <x:c r="F31" s="1"/>
    </x:row>
    <x:row r="32" ht="112" customHeight="1">
      <x:c r="A32" s="14" t="str">
        <x:v>S5</x:v>
      </x:c>
      <x:c r="B32" s="14" t="str">
        <x:v>Nghị định 30/2020/NĐ-CP</x:v>
      </x:c>
      <x:c r="C32" s="14" t="str">
        <x:v>Tham khảo thể thức văn bản hành chính</x:v>
      </x:c>
      <x:c r="D32" s="14" t="str">
        <x:v>https://chinhphu.vn/default.aspx?docid=199378&amp;pageid=27160</x:v>
      </x:c>
      <x:c r="E32" s="14" t="str">
        <x:v>Áp dụng hình thức soạn thảo phù hợp tài liệu trình cơ quan; không thay căn cứ thẩm định cấp độ.</x:v>
      </x:c>
      <x:c r="F32" s="1"/>
    </x:row>
    <x:row r="33">
      <x:c r="A33" s="1"/>
      <x:c r="B33" s="1"/>
      <x:c r="C33" s="1"/>
      <x:c r="D33" s="1"/>
      <x:c r="E33" s="1"/>
      <x:c r="F33" s="1"/>
    </x:row>
    <x:row r="34">
      <x:c r="A34" s="1"/>
      <x:c r="B34" s="1"/>
      <x:c r="C34" s="1"/>
      <x:c r="D34" s="1"/>
      <x:c r="E34" s="1"/>
      <x:c r="F34" s="1"/>
    </x:row>
    <x:row r="35">
      <x:c r="A35" s="1"/>
      <x:c r="B35" s="1"/>
      <x:c r="C35" s="1"/>
      <x:c r="D35" s="1"/>
      <x:c r="E35" s="1"/>
      <x:c r="F35" s="1"/>
    </x:row>
    <x:row r="36">
      <x:c r="A36" s="1"/>
      <x:c r="B36" s="1"/>
      <x:c r="C36" s="1"/>
      <x:c r="D36" s="1"/>
      <x:c r="E36" s="1"/>
      <x:c r="F36" s="1"/>
    </x:row>
    <x:row r="37">
      <x:c r="A37" s="1"/>
      <x:c r="B37" s="1"/>
      <x:c r="C37" s="1"/>
      <x:c r="D37" s="1"/>
      <x:c r="E37" s="1"/>
      <x:c r="F37" s="1"/>
    </x:row>
    <x:row r="38">
      <x:c r="A38" s="1"/>
      <x:c r="B38" s="1"/>
      <x:c r="C38" s="1"/>
      <x:c r="D38" s="1"/>
      <x:c r="E38" s="1"/>
      <x:c r="F38" s="1"/>
    </x:row>
    <x:row r="39">
      <x:c r="A39" s="1"/>
      <x:c r="B39" s="1"/>
      <x:c r="C39" s="1"/>
      <x:c r="D39" s="1"/>
      <x:c r="E39" s="1"/>
      <x:c r="F39" s="1"/>
    </x:row>
    <x:row r="40">
      <x:c r="A40" s="1"/>
      <x:c r="B40" s="1"/>
      <x:c r="C40" s="1"/>
      <x:c r="D40" s="1"/>
      <x:c r="E40" s="1"/>
      <x:c r="F40" s="1"/>
    </x:row>
    <x:row r="41">
      <x:c r="A41" s="1"/>
      <x:c r="B41" s="1"/>
      <x:c r="C41" s="1"/>
      <x:c r="D41" s="1"/>
      <x:c r="E41" s="1"/>
      <x:c r="F41" s="1"/>
    </x:row>
    <x:row r="42">
      <x:c r="A42" s="1"/>
      <x:c r="B42" s="1"/>
      <x:c r="C42" s="1"/>
      <x:c r="D42" s="1"/>
      <x:c r="E42" s="1"/>
      <x:c r="F42" s="1"/>
    </x:row>
    <x:row r="43">
      <x:c r="A43" s="1"/>
      <x:c r="B43" s="1"/>
      <x:c r="C43" s="1"/>
      <x:c r="D43" s="1"/>
      <x:c r="E43" s="1"/>
      <x:c r="F43" s="1"/>
    </x:row>
    <x:row r="44">
      <x:c r="A44" s="1"/>
      <x:c r="B44" s="1"/>
      <x:c r="C44" s="1"/>
      <x:c r="D44" s="1"/>
      <x:c r="E44" s="1"/>
      <x:c r="F44" s="1"/>
    </x:row>
    <x:row r="45">
      <x:c r="A45" s="1"/>
      <x:c r="B45" s="1"/>
      <x:c r="C45" s="1"/>
      <x:c r="D45" s="1"/>
      <x:c r="E45" s="1"/>
      <x:c r="F45" s="1"/>
    </x:row>
    <x:row r="46">
      <x:c r="A46" s="1"/>
      <x:c r="B46" s="1"/>
      <x:c r="C46" s="1"/>
      <x:c r="D46" s="1"/>
      <x:c r="E46" s="1"/>
      <x:c r="F46" s="1"/>
    </x:row>
    <x:row r="47">
      <x:c r="A47" s="1"/>
      <x:c r="B47" s="1"/>
      <x:c r="C47" s="1"/>
      <x:c r="D47" s="1"/>
      <x:c r="E47" s="1"/>
      <x:c r="F47" s="1"/>
    </x:row>
    <x:row r="48">
      <x:c r="A48" s="1"/>
      <x:c r="B48" s="1"/>
      <x:c r="C48" s="1"/>
      <x:c r="D48" s="1"/>
      <x:c r="E48" s="1"/>
      <x:c r="F48" s="1"/>
    </x:row>
    <x:row r="49">
      <x:c r="A49" s="1"/>
      <x:c r="B49" s="1"/>
      <x:c r="C49" s="1"/>
      <x:c r="D49" s="1"/>
      <x:c r="E49" s="1"/>
      <x:c r="F49" s="1"/>
    </x:row>
    <x:row r="50">
      <x:c r="A50" s="1"/>
      <x:c r="B50" s="1"/>
      <x:c r="C50" s="1"/>
      <x:c r="D50" s="1"/>
      <x:c r="E50" s="1"/>
      <x:c r="F50" s="1"/>
    </x:row>
    <x:row r="51">
      <x:c r="A51" s="1"/>
      <x:c r="B51" s="1"/>
      <x:c r="C51" s="1"/>
      <x:c r="D51" s="1"/>
      <x:c r="E51" s="1"/>
      <x:c r="F51" s="1"/>
    </x:row>
    <x:row r="52">
      <x:c r="A52" s="1"/>
      <x:c r="B52" s="1"/>
      <x:c r="C52" s="1"/>
      <x:c r="D52" s="1"/>
      <x:c r="E52" s="1"/>
      <x:c r="F52" s="1"/>
    </x:row>
    <x:row r="53">
      <x:c r="A53" s="1"/>
      <x:c r="B53" s="1"/>
      <x:c r="C53" s="1"/>
      <x:c r="D53" s="1"/>
      <x:c r="E53" s="1"/>
      <x:c r="F53" s="1"/>
    </x:row>
    <x:row r="54">
      <x:c r="A54" s="1"/>
      <x:c r="B54" s="1"/>
      <x:c r="C54" s="1"/>
      <x:c r="D54" s="1"/>
      <x:c r="E54" s="1"/>
      <x:c r="F54" s="1"/>
    </x:row>
    <x:row r="55">
      <x:c r="A55" s="1"/>
      <x:c r="B55" s="1"/>
      <x:c r="C55" s="1"/>
      <x:c r="D55" s="1"/>
      <x:c r="E55" s="1"/>
      <x:c r="F55" s="1"/>
    </x:row>
  </x:sheetData>
  <x:pageMargins left="0.7" right="0.7" top="0.75" bottom="0.75" header="0.3" footer="0.3"/>
</x:worksheet>
</file>