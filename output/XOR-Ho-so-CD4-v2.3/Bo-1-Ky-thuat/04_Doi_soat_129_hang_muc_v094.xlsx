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f88828bdeec4d34" /></Relationships>
</file>

<file path=xl/workbook.xml><?xml version="1.0" encoding="utf-8"?>
<x:workbook xmlns:x="http://schemas.openxmlformats.org/spreadsheetml/2006/main">
  <x:sheets>
    <x:sheet xmlns:r="http://schemas.openxmlformats.org/officeDocument/2006/relationships" name="Doi_soat" sheetId="1" r:id="R47e00c2f20594598"/>
    <x:sheet xmlns:r="http://schemas.openxmlformats.org/officeDocument/2006/relationships" name="Nguon_v094" sheetId="2" r:id="Raf68ee0020dd43a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yyyy"/>
  </x:numFmts>
  <x:fonts count="4">
    <x:font>
      <x:sz val="11"/>
      <x:name val="Carlito"/>
    </x:font>
    <x:font>
      <x:sz val="10"/>
      <x:color rgb="FF000000"/>
      <x:name val="Times New Roman"/>
    </x:font>
    <x:font>
      <x:b/>
      <x:sz val="10"/>
      <x:color rgb="FF000000"/>
      <x:name val="Times New Roman"/>
    </x:font>
    <x:font>
      <x:b/>
      <x:sz val="15"/>
      <x:color rgb="FF000000"/>
      <x:name val="Times New Roman"/>
    </x:font>
  </x:fonts>
  <x:fills count="4">
    <x:fill>
      <x:patternFill patternType="none"/>
    </x:fill>
    <x:fill>
      <x:patternFill patternType="gray125"/>
    </x:fill>
    <x:fill>
      <x:patternFill patternType="solid">
        <x:fgColor rgb="FFFFFFFF"/>
      </x:patternFill>
    </x:fill>
    <x:fill>
      <x:patternFill patternType="solid">
        <x:fgColor rgb="FFF2F2F2"/>
      </x:patternFill>
    </x:fill>
  </x:fills>
  <x:borders count="2">
    <x:border>
      <x:left/>
      <x:right/>
      <x:top/>
      <x:bottom/>
      <x:diagonal/>
    </x:border>
    <x:border>
      <x:left style="thin">
        <x:color rgb="FF000000"/>
      </x:left>
      <x:right style="thin">
        <x:color rgb="FF000000"/>
      </x:right>
      <x:top style="thin">
        <x:color rgb="FF000000"/>
      </x:top>
      <x:bottom style="thin">
        <x:color rgb="FF000000"/>
      </x:bottom>
      <x:diagonal/>
    </x:border>
  </x:borders>
  <x:cellStyleXfs count="1">
    <x:xf numFmtId="0" fontId="0" fillId="0" borderId="0"/>
  </x:cellStyleXfs>
  <x:cellXfs count="1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1" xfId="0" applyNumberFormat="1" applyFont="1" applyFill="1" applyBorder="1" applyAlignment="1">
      <x:alignment horizontal="center" vertical="center" wrapText="1"/>
    </x:xf>
    <x:xf numFmtId="0" fontId="1" fillId="2"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x:xf>
    <x:xf numFmtId="0" fontId="2" fillId="0" borderId="0" xfId="0" applyNumberFormat="1" applyFont="1" applyFill="1" applyBorder="1" applyAlignment="1">
      <x:alignment horizontal="center" vertical="center"/>
    </x:xf>
    <x:xf numFmtId="0" fontId="1" fillId="3" borderId="1" xfId="0" applyNumberFormat="1" applyFont="1" applyFill="1" applyBorder="1" applyAlignment="1">
      <x:alignment vertical="center" wrapText="1"/>
    </x:xf>
    <x:xf numFmtId="200" fontId="1" fillId="3" borderId="1" xfId="0" applyNumberFormat="1" applyFont="1" applyFill="1" applyBorder="1" applyAlignment="1">
      <x:alignment vertical="center" wrapText="1"/>
    </x:xf>
  </x:cellXfs>
  <x:cellStyles count="1">
    <x:cellStyle name="Normal" xfId="0"/>
  </x:cellStyles>
  <x:dxfs count="2">
    <x:dxf>
      <x:font>
        <x:b/>
        <x:color rgb="FF000000"/>
      </x:font>
      <x:fill>
        <x:patternFill patternType="solid">
          <x:bgColor rgb="FFD9D9D9"/>
        </x:patternFill>
      </x:fill>
    </x:dxf>
    <x:dxf>
      <x:font>
        <x:color rgb="FF000000"/>
      </x:font>
      <x:fill>
        <x:patternFill patternType="solid">
          <x:bgColor rgb="FFF2F2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bca284b01747f7" /><Relationship Type="http://schemas.openxmlformats.org/officeDocument/2006/relationships/theme" Target="/xl/theme/theme1.xml" Id="Rcfa0215c59bf4add" /><Relationship Type="http://schemas.openxmlformats.org/officeDocument/2006/relationships/sharedStrings" Target="/xl/sharedStrings.xml" Id="Re25eea398a1946a6" /><Relationship Type="http://schemas.openxmlformats.org/officeDocument/2006/relationships/worksheet" Target="/xl/worksheets/sheet1.xml" Id="R47e00c2f20594598" /><Relationship Type="http://schemas.openxmlformats.org/officeDocument/2006/relationships/worksheet" Target="/xl/worksheets/sheet2.xml" Id="Raf68ee0020dd43af" /></Relationships>
</file>

<file path=xl/tables/table1.xml><?xml version="1.0" encoding="utf-8"?>
<x:table xmlns:x="http://schemas.openxmlformats.org/spreadsheetml/2006/main" id="1" name="DoiSoat129" displayName="DoiSoat129" ref="A8:N137" headerRowCount="1" totalsRowCount="0" totalsRowShown="0">
  <x:autoFilter ref="A8:N137"/>
  <x:tableColumns count="14">
    <x:tableColumn id="1" name="Mã nguồn"/>
    <x:tableColumn id="2" name="Hạng mục"/>
    <x:tableColumn id="3" name="Ưu tiên nguồn"/>
    <x:tableColumn id="4" name="Trạng thái nguồn"/>
    <x:tableColumn id="5" name="Đầu mối nguồn"/>
    <x:tableColumn id="6" name="Kết quả hiện tại"/>
    <x:tableColumn id="7" name="Người phụ trách"/>
    <x:tableColumn id="8" name="Hạn xử lý"/>
    <x:tableColumn id="9" name="Mã hoặc đường dẫn EV"/>
    <x:tableColumn id="10" name="Người xác minh"/>
    <x:tableColumn id="11" name="Ngày xác minh"/>
    <x:tableColumn id="12" name="Hành động và kết luận mới"/>
    <x:tableColumn id="13" name="Mã TC CL HS T liên quan"/>
    <x:tableColumn id="14" name="Tình trạng dữ liệu"/>
  </x:tableColumns>
  <x:tableStyleInfo name="TableStyleLight1" showFirstColumn="0" showLastColumn="0" showRowStripes="1" showColumnStripes="0"/>
</x:table>
</file>

<file path=xl/tables/table2.xml><?xml version="1.0" encoding="utf-8"?>
<x:table xmlns:x="http://schemas.openxmlformats.org/spreadsheetml/2006/main" id="2" name="Nguon129" displayName="Nguon129" ref="A8:J137" headerRowCount="1" totalsRowCount="0" totalsRowShown="0">
  <x:autoFilter ref="A8:J137"/>
  <x:tableColumns count="10">
    <x:tableColumn id="1" name="Mã nguồn"/>
    <x:tableColumn id="2" name="Nhóm nguồn"/>
    <x:tableColumn id="3" name="Hạng mục"/>
    <x:tableColumn id="4" name="Tiêu chí ghi trong nguồn"/>
    <x:tableColumn id="5" name="Trạng thái lịch sử"/>
    <x:tableColumn id="6" name="Tồn tại ghi trong nguồn"/>
    <x:tableColumn id="7" name="Bằng chứng tối thiểu theo nguồn"/>
    <x:tableColumn id="8" name="Đầu mối nguồn"/>
    <x:tableColumn id="9" name="Ưu tiên nguồn"/>
    <x:tableColumn id="10" name="Căn cứ ghi trong nguồn"/>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5bcfe30f1a43f8" /></Relationships>
</file>

<file path=xl/worksheets/_rels/sheet2.xml.rels>&#65279;<?xml version="1.0" encoding="utf-8"?><Relationships xmlns="http://schemas.openxmlformats.org/package/2006/relationships"><Relationship Type="http://schemas.openxmlformats.org/officeDocument/2006/relationships/table" Target="/xl/tables/table2.xml" Id="R96142f71b1a64ddf" /></Relationships>
</file>

<file path=xl/worksheets/sheet1.xml><?xml version="1.0" encoding="utf-8"?>
<x:worksheet xmlns:x="http://schemas.openxmlformats.org/spreadsheetml/2006/main">
  <x:sheetPr>
    <x:tabColor rgb="FF666666"/>
  </x:sheetPr>
  <x:sheetViews>
    <x:sheetView showGridLines="0" workbookViewId="0">
      <x:pane xSplit="1" ySplit="8" topLeftCell="B9" activePane="bottomRight" state="frozen"/>
    </x:sheetView>
  </x:sheetViews>
  <x:sheetFormatPr defaultRowHeight="15"/>
  <x:cols>
    <x:col min="1" max="1" width="14.670000076293945" hidden="0" customWidth="1"/>
    <x:col min="2" max="2" width="29.440000534057617" hidden="0" customWidth="1"/>
    <x:col min="3" max="3" width="9.4399995803833" hidden="0" customWidth="1"/>
    <x:col min="4" max="4" width="17.780000686645508" hidden="0" customWidth="1"/>
    <x:col min="5" max="5" width="18.889999389648438" hidden="0" customWidth="1"/>
    <x:col min="6" max="6" width="19.440000534057617" hidden="0" customWidth="1"/>
    <x:col min="7" max="7" width="18.329999923706055" hidden="0" customWidth="1"/>
    <x:col min="8" max="8" width="12.220000267028809" hidden="0" customWidth="1"/>
    <x:col min="9" max="9" width="26.670000076293945" hidden="0" customWidth="1"/>
    <x:col min="10" max="10" width="18.329999923706055" hidden="0" customWidth="1"/>
    <x:col min="11" max="11" width="12.779999732971191" hidden="0" customWidth="1"/>
    <x:col min="12" max="12" width="46.66999816894531" hidden="0" customWidth="1"/>
    <x:col min="13" max="13" width="21.110000610351562" hidden="0" customWidth="1"/>
    <x:col min="14" max="14" width="25.559999465942383" hidden="0" customWidth="1"/>
  </x:cols>
  <x:sheetData>
    <x:row r="1">
      <x:c r="A1" s="2"/>
      <x:c r="B1" s="2"/>
      <x:c r="C1" s="2"/>
      <x:c r="D1" s="2"/>
      <x:c r="E1" s="2"/>
      <x:c r="F1" s="2"/>
      <x:c r="G1" s="2"/>
      <x:c r="H1" s="2"/>
      <x:c r="I1" s="2"/>
      <x:c r="J1" s="2"/>
      <x:c r="K1" s="2"/>
      <x:c r="L1" s="2"/>
      <x:c r="M1" s="2"/>
      <x:c r="N1" s="2"/>
    </x:row>
    <x:row r="2" ht="27" customHeight="1">
      <x:c r="A2" s="12" t="str">
        <x:v>Đối soát 129 hạng mục từ hồ sơ tham khảo</x:v>
      </x:c>
      <x:c r="B2" s="2"/>
      <x:c r="C2" s="2"/>
      <x:c r="D2" s="2"/>
      <x:c r="E2" s="2"/>
      <x:c r="F2" s="2"/>
      <x:c r="G2" s="2"/>
      <x:c r="H2" s="2"/>
      <x:c r="I2" s="2"/>
      <x:c r="J2" s="2"/>
      <x:c r="K2" s="2"/>
      <x:c r="L2" s="2"/>
      <x:c r="M2" s="2"/>
      <x:c r="N2" s="2"/>
    </x:row>
    <x:row r="3">
      <x:c r="A3" s="2" t="str">
        <x:v>Tổng hạng mục</x:v>
      </x:c>
      <x:c r="B3" s="14" t="n">
        <x:f>COUNTA(A9:A137)</x:f>
        <x:v>129</x:v>
      </x:c>
      <x:c r="C3" s="2"/>
      <x:c r="D3" s="2" t="str">
        <x:v>Chưa xác minh</x:v>
      </x:c>
      <x:c r="E3" s="14" t="n">
        <x:f>COUNTIFS(F9:F137,"Chưa xác minh")</x:f>
        <x:v>129</x:v>
      </x:c>
      <x:c r="F3" s="2" t="str">
        <x:v>Cần khắc phục</x:v>
      </x:c>
      <x:c r="G3" s="14" t="n">
        <x:f>COUNTIFS(F9:F137,"Không đạt")</x:f>
        <x:v>0</x:v>
      </x:c>
      <x:c r="H3" s="2"/>
      <x:c r="I3" s="2" t="str">
        <x:v>Đủ dữ liệu xác minh</x:v>
      </x:c>
      <x:c r="J3" s="14" t="n">
        <x:f>COUNTIFS(N9:N137,"Đủ dữ liệu xác minh")</x:f>
        <x:v>0</x:v>
      </x:c>
      <x:c r="K3" s="2"/>
      <x:c r="L3" s="2"/>
      <x:c r="M3" s="2"/>
      <x:c r="N3" s="2"/>
    </x:row>
    <x:row r="4">
      <x:c r="A4" s="2"/>
      <x:c r="B4" s="2"/>
      <x:c r="C4" s="2"/>
      <x:c r="D4" s="2"/>
      <x:c r="E4" s="2"/>
      <x:c r="F4" s="2"/>
      <x:c r="G4" s="2"/>
      <x:c r="H4" s="2"/>
      <x:c r="I4" s="2"/>
      <x:c r="J4" s="2"/>
      <x:c r="K4" s="2"/>
      <x:c r="L4" s="2"/>
      <x:c r="M4" s="2"/>
      <x:c r="N4" s="2"/>
    </x:row>
    <x:row r="5">
      <x:c r="A5" s="2" t="str">
        <x:v>Ô nền xám nhạt nhập kết quả hiện tại. Tab Nguon_v094 giữ thông tin lịch sử; không chuyển trạng thái cũ thành kết quả mới.</x:v>
      </x:c>
      <x:c r="B5" s="2"/>
      <x:c r="C5" s="2"/>
      <x:c r="D5" s="2"/>
      <x:c r="E5" s="2"/>
      <x:c r="F5" s="2"/>
      <x:c r="G5" s="2"/>
      <x:c r="H5" s="2"/>
      <x:c r="I5" s="2"/>
      <x:c r="J5" s="2"/>
      <x:c r="K5" s="2"/>
      <x:c r="L5" s="2"/>
      <x:c r="M5" s="2"/>
      <x:c r="N5" s="2"/>
    </x:row>
    <x:row r="6">
      <x:c r="A6" s="2" t="str">
        <x:v>Đạt hoặc Không áp dụng cần có người phụ trách, EV, người và ngày xác minh, hành động/kết luận. Không áp dụng phải ghi căn cứ và EV phê duyệt.</x:v>
      </x:c>
      <x:c r="B6" s="2"/>
      <x:c r="C6" s="2"/>
      <x:c r="D6" s="2"/>
      <x:c r="E6" s="2"/>
      <x:c r="F6" s="2"/>
      <x:c r="G6" s="2"/>
      <x:c r="H6" s="2"/>
      <x:c r="I6" s="2"/>
      <x:c r="J6" s="2"/>
      <x:c r="K6" s="2"/>
      <x:c r="L6" s="2"/>
      <x:c r="M6" s="2"/>
      <x:c r="N6" s="2"/>
    </x:row>
    <x:row r="7">
      <x:c r="A7" s="2" t="str">
        <x:v>Mã liên quan do người kiểm tra xác định trong workbook 02; không ghép tự động 129 mục nguồn với 119 dòng TC.</x:v>
      </x:c>
      <x:c r="B7" s="2"/>
      <x:c r="C7" s="2"/>
      <x:c r="D7" s="2"/>
      <x:c r="E7" s="2"/>
      <x:c r="F7" s="2"/>
      <x:c r="G7" s="2"/>
      <x:c r="H7" s="2"/>
      <x:c r="I7" s="2"/>
      <x:c r="J7" s="2"/>
      <x:c r="K7" s="2"/>
      <x:c r="L7" s="2"/>
      <x:c r="M7" s="2"/>
      <x:c r="N7" s="2"/>
    </x:row>
    <x:row r="8" ht="38" customHeight="1">
      <x:c r="A8" s="9" t="str">
        <x:v>Mã nguồn</x:v>
      </x:c>
      <x:c r="B8" s="9" t="str">
        <x:v>Hạng mục</x:v>
      </x:c>
      <x:c r="C8" s="9" t="str">
        <x:v>Ưu tiên nguồn</x:v>
      </x:c>
      <x:c r="D8" s="9" t="str">
        <x:v>Trạng thái nguồn</x:v>
      </x:c>
      <x:c r="E8" s="9" t="str">
        <x:v>Đầu mối nguồn</x:v>
      </x:c>
      <x:c r="F8" s="9" t="str">
        <x:v>Kết quả hiện tại</x:v>
      </x:c>
      <x:c r="G8" s="9" t="str">
        <x:v>Người phụ trách</x:v>
      </x:c>
      <x:c r="H8" s="9" t="str">
        <x:v>Hạn xử lý</x:v>
      </x:c>
      <x:c r="I8" s="9" t="str">
        <x:v>Mã hoặc đường dẫn EV</x:v>
      </x:c>
      <x:c r="J8" s="9" t="str">
        <x:v>Người xác minh</x:v>
      </x:c>
      <x:c r="K8" s="9" t="str">
        <x:v>Ngày xác minh</x:v>
      </x:c>
      <x:c r="L8" s="9" t="str">
        <x:v>Hành động và kết luận mới</x:v>
      </x:c>
      <x:c r="M8" s="9" t="str">
        <x:v>Mã TC CL HS T liên quan</x:v>
      </x:c>
      <x:c r="N8" s="9" t="str">
        <x:v>Tình trạng dữ liệu</x:v>
      </x:c>
    </x:row>
    <x:row r="9" ht="64" customHeight="1">
      <x:c r="A9" s="10" t="str">
        <x:v>C4-GOV-01</x:v>
      </x:c>
      <x:c r="B9" s="10" t="str">
        <x:v>Xác định ranh giới hệ thống</x:v>
      </x:c>
      <x:c r="C9" s="10" t="str">
        <x:v>P0</x:v>
      </x:c>
      <x:c r="D9" s="10" t="str">
        <x:v>Đang thực hiện</x:v>
      </x:c>
      <x:c r="E9" s="10" t="str">
        <x:v>Chủ quản/CTO</x:v>
      </x:c>
      <x:c r="F9" s="15" t="str">
        <x:v>Chưa xác minh</x:v>
      </x:c>
      <x:c r="G9" s="15"/>
      <x:c r="H9" s="16"/>
      <x:c r="I9" s="15"/>
      <x:c r="J9" s="15"/>
      <x:c r="K9" s="16"/>
      <x:c r="L9" s="15"/>
      <x:c r="M9" s="15"/>
      <x:c r="N9" s="10" t="str">
        <x:f>IF(F9="Không đạt","Cần khắc phục",IF(F9="Chưa xác minh","Chưa xác minh",IF(F9="Chưa đủ bằng chứng","Bổ sung bằng chứng",IF(AND(OR(F9="Đạt",F9="Không áp dụng"),G9&lt;&gt;"",I9&lt;&gt;"",J9&lt;&gt;"",ISNUMBER(K9),K9&gt;0,L9&lt;&gt;""),"Đủ dữ liệu xác minh","Thiếu hồ sơ xác minh"))))</x:f>
        <x:v>Chưa xác minh</x:v>
      </x:c>
    </x:row>
    <x:row r="10" ht="64" customHeight="1">
      <x:c r="A10" s="11" t="str">
        <x:v>C4-GOV-02</x:v>
      </x:c>
      <x:c r="B10" s="11" t="str">
        <x:v>Xác định chủ quản và đơn vị vận hành</x:v>
      </x:c>
      <x:c r="C10" s="11" t="str">
        <x:v>P0</x:v>
      </x:c>
      <x:c r="D10" s="11" t="str">
        <x:v>Chưa đánh giá</x:v>
      </x:c>
      <x:c r="E10" s="11" t="str">
        <x:v>Ban điều hành</x:v>
      </x:c>
      <x:c r="F10" s="15" t="str">
        <x:v>Chưa xác minh</x:v>
      </x:c>
      <x:c r="G10" s="15"/>
      <x:c r="H10" s="16"/>
      <x:c r="I10" s="15"/>
      <x:c r="J10" s="15"/>
      <x:c r="K10" s="16"/>
      <x:c r="L10" s="15"/>
      <x:c r="M10" s="15"/>
      <x:c r="N10" s="11" t="str">
        <x:f>IF(F10="Không đạt","Cần khắc phục",IF(F10="Chưa xác minh","Chưa xác minh",IF(F10="Chưa đủ bằng chứng","Bổ sung bằng chứng",IF(AND(OR(F10="Đạt",F10="Không áp dụng"),G10&lt;&gt;"",I10&lt;&gt;"",J10&lt;&gt;"",ISNUMBER(K10),K10&gt;0,L10&lt;&gt;""),"Đủ dữ liệu xác minh","Thiếu hồ sơ xác minh"))))</x:f>
        <x:v>Chưa xác minh</x:v>
      </x:c>
    </x:row>
    <x:row r="11" ht="64" customHeight="1">
      <x:c r="A11" s="10" t="str">
        <x:v>C4-GOV-03</x:v>
      </x:c>
      <x:c r="B11" s="10" t="str">
        <x:v>Phân loại dịch vụ và hệ thống khách hàng</x:v>
      </x:c>
      <x:c r="C11" s="10" t="str">
        <x:v>P0</x:v>
      </x:c>
      <x:c r="D11" s="10" t="str">
        <x:v>Chưa đánh giá</x:v>
      </x:c>
      <x:c r="E11" s="10" t="str">
        <x:v>GRC/Cloud Ops</x:v>
      </x:c>
      <x:c r="F11" s="15" t="str">
        <x:v>Chưa xác minh</x:v>
      </x:c>
      <x:c r="G11" s="15"/>
      <x:c r="H11" s="16"/>
      <x:c r="I11" s="15"/>
      <x:c r="J11" s="15"/>
      <x:c r="K11" s="16"/>
      <x:c r="L11" s="15"/>
      <x:c r="M11" s="15"/>
      <x:c r="N11" s="10" t="str">
        <x:f>IF(F11="Không đạt","Cần khắc phục",IF(F11="Chưa xác minh","Chưa xác minh",IF(F11="Chưa đủ bằng chứng","Bổ sung bằng chứng",IF(AND(OR(F11="Đạt",F11="Không áp dụng"),G11&lt;&gt;"",I11&lt;&gt;"",J11&lt;&gt;"",ISNUMBER(K11),K11&gt;0,L11&lt;&gt;""),"Đủ dữ liệu xác minh","Thiếu hồ sơ xác minh"))))</x:f>
        <x:v>Chưa xác minh</x:v>
      </x:c>
    </x:row>
    <x:row r="12" ht="64" customHeight="1">
      <x:c r="A12" s="11" t="str">
        <x:v>C4-GOV-04</x:v>
      </x:c>
      <x:c r="B12" s="11" t="str">
        <x:v>Hồ sơ đề xuất cấp độ</x:v>
      </x:c>
      <x:c r="C12" s="11" t="str">
        <x:v>P0</x:v>
      </x:c>
      <x:c r="D12" s="11" t="str">
        <x:v>Chưa đánh giá</x:v>
      </x:c>
      <x:c r="E12" s="11" t="str">
        <x:v>GRC/PMO</x:v>
      </x:c>
      <x:c r="F12" s="15" t="str">
        <x:v>Chưa xác minh</x:v>
      </x:c>
      <x:c r="G12" s="15"/>
      <x:c r="H12" s="16"/>
      <x:c r="I12" s="15"/>
      <x:c r="J12" s="15"/>
      <x:c r="K12" s="16"/>
      <x:c r="L12" s="15"/>
      <x:c r="M12" s="15"/>
      <x:c r="N12" s="11" t="str">
        <x:f>IF(F12="Không đạt","Cần khắc phục",IF(F12="Chưa xác minh","Chưa xác minh",IF(F12="Chưa đủ bằng chứng","Bổ sung bằng chứng",IF(AND(OR(F12="Đạt",F12="Không áp dụng"),G12&lt;&gt;"",I12&lt;&gt;"",J12&lt;&gt;"",ISNUMBER(K12),K12&gt;0,L12&lt;&gt;""),"Đủ dữ liệu xác minh","Thiếu hồ sơ xác minh"))))</x:f>
        <x:v>Chưa xác minh</x:v>
      </x:c>
    </x:row>
    <x:row r="13" ht="64" customHeight="1">
      <x:c r="A13" s="10" t="str">
        <x:v>C4-GOV-05</x:v>
      </x:c>
      <x:c r="B13" s="10" t="str">
        <x:v>Tích hợp yêu cầu vào hồ sơ đầu tư</x:v>
      </x:c>
      <x:c r="C13" s="10" t="str">
        <x:v>P0</x:v>
      </x:c>
      <x:c r="D13" s="10" t="str">
        <x:v>Đang thực hiện</x:v>
      </x:c>
      <x:c r="E13" s="10" t="str">
        <x:v>PMO/Kiến trúc</x:v>
      </x:c>
      <x:c r="F13" s="15" t="str">
        <x:v>Chưa xác minh</x:v>
      </x:c>
      <x:c r="G13" s="15"/>
      <x:c r="H13" s="16"/>
      <x:c r="I13" s="15"/>
      <x:c r="J13" s="15"/>
      <x:c r="K13" s="16"/>
      <x:c r="L13" s="15"/>
      <x:c r="M13" s="15"/>
      <x:c r="N13" s="10" t="str">
        <x:f>IF(F13="Không đạt","Cần khắc phục",IF(F13="Chưa xác minh","Chưa xác minh",IF(F13="Chưa đủ bằng chứng","Bổ sung bằng chứng",IF(AND(OR(F13="Đạt",F13="Không áp dụng"),G13&lt;&gt;"",I13&lt;&gt;"",J13&lt;&gt;"",ISNUMBER(K13),K13&gt;0,L13&lt;&gt;""),"Đủ dữ liệu xác minh","Thiếu hồ sơ xác minh"))))</x:f>
        <x:v>Chưa xác minh</x:v>
      </x:c>
    </x:row>
    <x:row r="14" ht="64" customHeight="1">
      <x:c r="A14" s="11" t="str">
        <x:v>C4-GOV-06</x:v>
      </x:c>
      <x:c r="B14" s="11" t="str">
        <x:v>Thẩm định/phê duyệt cấp 4</x:v>
      </x:c>
      <x:c r="C14" s="11" t="str">
        <x:v>P0</x:v>
      </x:c>
      <x:c r="D14" s="11" t="str">
        <x:v>Chưa đánh giá</x:v>
      </x:c>
      <x:c r="E14" s="11" t="str">
        <x:v>GRC/Pháp chế</x:v>
      </x:c>
      <x:c r="F14" s="15" t="str">
        <x:v>Chưa xác minh</x:v>
      </x:c>
      <x:c r="G14" s="15"/>
      <x:c r="H14" s="16"/>
      <x:c r="I14" s="15"/>
      <x:c r="J14" s="15"/>
      <x:c r="K14" s="16"/>
      <x:c r="L14" s="15"/>
      <x:c r="M14" s="15"/>
      <x:c r="N14" s="11" t="str">
        <x:f>IF(F14="Không đạt","Cần khắc phục",IF(F14="Chưa xác minh","Chưa xác minh",IF(F14="Chưa đủ bằng chứng","Bổ sung bằng chứng",IF(AND(OR(F14="Đạt",F14="Không áp dụng"),G14&lt;&gt;"",I14&lt;&gt;"",J14&lt;&gt;"",ISNUMBER(K14),K14&gt;0,L14&lt;&gt;""),"Đủ dữ liệu xác minh","Thiếu hồ sơ xác minh"))))</x:f>
        <x:v>Chưa xác minh</x:v>
      </x:c>
    </x:row>
    <x:row r="15" ht="64" customHeight="1">
      <x:c r="A15" s="10" t="str">
        <x:v>C4-GOV-07</x:v>
      </x:c>
      <x:c r="B15" s="10" t="str">
        <x:v>Trường hợp thuộc danh mục quan trọng</x:v>
      </x:c>
      <x:c r="C15" s="10" t="str">
        <x:v>P0</x:v>
      </x:c>
      <x:c r="D15" s="10" t="str">
        <x:v>Chưa đánh giá</x:v>
      </x:c>
      <x:c r="E15" s="10" t="str">
        <x:v>GRC/Pháp chế</x:v>
      </x:c>
      <x:c r="F15" s="15" t="str">
        <x:v>Chưa xác minh</x:v>
      </x:c>
      <x:c r="G15" s="15"/>
      <x:c r="H15" s="16"/>
      <x:c r="I15" s="15"/>
      <x:c r="J15" s="15"/>
      <x:c r="K15" s="16"/>
      <x:c r="L15" s="15"/>
      <x:c r="M15" s="15"/>
      <x:c r="N15" s="10" t="str">
        <x:f>IF(F15="Không đạt","Cần khắc phục",IF(F15="Chưa xác minh","Chưa xác minh",IF(F15="Chưa đủ bằng chứng","Bổ sung bằng chứng",IF(AND(OR(F15="Đạt",F15="Không áp dụng"),G15&lt;&gt;"",I15&lt;&gt;"",J15&lt;&gt;"",ISNUMBER(K15),K15&gt;0,L15&lt;&gt;""),"Đủ dữ liệu xác minh","Thiếu hồ sơ xác minh"))))</x:f>
        <x:v>Chưa xác minh</x:v>
      </x:c>
    </x:row>
    <x:row r="16" ht="64" customHeight="1">
      <x:c r="A16" s="11" t="str">
        <x:v>C4-GOV-08</x:v>
      </x:c>
      <x:c r="B16" s="11" t="str">
        <x:v>Phân tách khi thuê DC/cloud</x:v>
      </x:c>
      <x:c r="C16" s="11" t="str">
        <x:v>P0</x:v>
      </x:c>
      <x:c r="D16" s="11" t="str">
        <x:v>Chưa đánh giá</x:v>
      </x:c>
      <x:c r="E16" s="11" t="str">
        <x:v>Kiến trúc/NetOps</x:v>
      </x:c>
      <x:c r="F16" s="15" t="str">
        <x:v>Chưa xác minh</x:v>
      </x:c>
      <x:c r="G16" s="15"/>
      <x:c r="H16" s="16"/>
      <x:c r="I16" s="15"/>
      <x:c r="J16" s="15"/>
      <x:c r="K16" s="16"/>
      <x:c r="L16" s="15"/>
      <x:c r="M16" s="15"/>
      <x:c r="N16" s="11" t="str">
        <x:f>IF(F16="Không đạt","Cần khắc phục",IF(F16="Chưa xác minh","Chưa xác minh",IF(F16="Chưa đủ bằng chứng","Bổ sung bằng chứng",IF(AND(OR(F16="Đạt",F16="Không áp dụng"),G16&lt;&gt;"",I16&lt;&gt;"",J16&lt;&gt;"",ISNUMBER(K16),K16&gt;0,L16&lt;&gt;""),"Đủ dữ liệu xác minh","Thiếu hồ sơ xác minh"))))</x:f>
        <x:v>Chưa xác minh</x:v>
      </x:c>
    </x:row>
    <x:row r="17" ht="64" customHeight="1">
      <x:c r="A17" s="10" t="str">
        <x:v>C4-GOV-09</x:v>
      </x:c>
      <x:c r="B17" s="10" t="str">
        <x:v>Quản lý chuyển tiếp TT 12/NĐ 85</x:v>
      </x:c>
      <x:c r="C17" s="10" t="str">
        <x:v>P0</x:v>
      </x:c>
      <x:c r="D17" s="10" t="str">
        <x:v>Chưa đánh giá</x:v>
      </x:c>
      <x:c r="E17" s="10" t="str">
        <x:v>GRC/Pháp chế</x:v>
      </x:c>
      <x:c r="F17" s="15" t="str">
        <x:v>Chưa xác minh</x:v>
      </x:c>
      <x:c r="G17" s="15"/>
      <x:c r="H17" s="16"/>
      <x:c r="I17" s="15"/>
      <x:c r="J17" s="15"/>
      <x:c r="K17" s="16"/>
      <x:c r="L17" s="15"/>
      <x:c r="M17" s="15"/>
      <x:c r="N17" s="10" t="str">
        <x:f>IF(F17="Không đạt","Cần khắc phục",IF(F17="Chưa xác minh","Chưa xác minh",IF(F17="Chưa đủ bằng chứng","Bổ sung bằng chứng",IF(AND(OR(F17="Đạt",F17="Không áp dụng"),G17&lt;&gt;"",I17&lt;&gt;"",J17&lt;&gt;"",ISNUMBER(K17),K17&gt;0,L17&lt;&gt;""),"Đủ dữ liệu xác minh","Thiếu hồ sơ xác minh"))))</x:f>
        <x:v>Chưa xác minh</x:v>
      </x:c>
    </x:row>
    <x:row r="18" ht="64" customHeight="1">
      <x:c r="A18" s="11" t="str">
        <x:v>C4-GOV-10</x:v>
      </x:c>
      <x:c r="B18" s="11" t="str">
        <x:v>Duy trì hồ sơ as-built</x:v>
      </x:c>
      <x:c r="C18" s="11" t="str">
        <x:v>P0</x:v>
      </x:c>
      <x:c r="D18" s="11" t="str">
        <x:v>Không đạt</x:v>
      </x:c>
      <x:c r="E18" s="11" t="str">
        <x:v>PMO/GRC</x:v>
      </x:c>
      <x:c r="F18" s="15" t="str">
        <x:v>Chưa xác minh</x:v>
      </x:c>
      <x:c r="G18" s="15"/>
      <x:c r="H18" s="16"/>
      <x:c r="I18" s="15"/>
      <x:c r="J18" s="15"/>
      <x:c r="K18" s="16"/>
      <x:c r="L18" s="15"/>
      <x:c r="M18" s="15"/>
      <x:c r="N18" s="11" t="str">
        <x:f>IF(F18="Không đạt","Cần khắc phục",IF(F18="Chưa xác minh","Chưa xác minh",IF(F18="Chưa đủ bằng chứng","Bổ sung bằng chứng",IF(AND(OR(F18="Đạt",F18="Không áp dụng"),G18&lt;&gt;"",I18&lt;&gt;"",J18&lt;&gt;"",ISNUMBER(K18),K18&gt;0,L18&lt;&gt;""),"Đủ dữ liệu xác minh","Thiếu hồ sơ xác minh"))))</x:f>
        <x:v>Chưa xác minh</x:v>
      </x:c>
    </x:row>
    <x:row r="19" ht="64" customHeight="1">
      <x:c r="A19" s="10" t="str">
        <x:v>C4-LEG-01</x:v>
      </x:c>
      <x:c r="B19" s="10" t="str">
        <x:v>Thông báo/đăng ký dịch vụ DC và cloud</x:v>
      </x:c>
      <x:c r="C19" s="10" t="str">
        <x:v>P0</x:v>
      </x:c>
      <x:c r="D19" s="10" t="str">
        <x:v>Chưa đánh giá</x:v>
      </x:c>
      <x:c r="E19" s="10" t="str">
        <x:v>Pháp chế</x:v>
      </x:c>
      <x:c r="F19" s="15" t="str">
        <x:v>Chưa xác minh</x:v>
      </x:c>
      <x:c r="G19" s="15"/>
      <x:c r="H19" s="16"/>
      <x:c r="I19" s="15"/>
      <x:c r="J19" s="15"/>
      <x:c r="K19" s="16"/>
      <x:c r="L19" s="15"/>
      <x:c r="M19" s="15"/>
      <x:c r="N19" s="10" t="str">
        <x:f>IF(F19="Không đạt","Cần khắc phục",IF(F19="Chưa xác minh","Chưa xác minh",IF(F19="Chưa đủ bằng chứng","Bổ sung bằng chứng",IF(AND(OR(F19="Đạt",F19="Không áp dụng"),G19&lt;&gt;"",I19&lt;&gt;"",J19&lt;&gt;"",ISNUMBER(K19),K19&gt;0,L19&lt;&gt;""),"Đủ dữ liệu xác minh","Thiếu hồ sơ xác minh"))))</x:f>
        <x:v>Chưa xác minh</x:v>
      </x:c>
    </x:row>
    <x:row r="20" ht="64" customHeight="1">
      <x:c r="A20" s="11" t="str">
        <x:v>C4-LEG-02</x:v>
      </x:c>
      <x:c r="B20" s="11" t="str">
        <x:v>Công bố chất lượng và SLA</x:v>
      </x:c>
      <x:c r="C20" s="11" t="str">
        <x:v>P0</x:v>
      </x:c>
      <x:c r="D20" s="11" t="str">
        <x:v>Chưa đánh giá</x:v>
      </x:c>
      <x:c r="E20" s="11" t="str">
        <x:v>Product/Legal/SRE</x:v>
      </x:c>
      <x:c r="F20" s="15" t="str">
        <x:v>Chưa xác minh</x:v>
      </x:c>
      <x:c r="G20" s="15"/>
      <x:c r="H20" s="16"/>
      <x:c r="I20" s="15"/>
      <x:c r="J20" s="15"/>
      <x:c r="K20" s="16"/>
      <x:c r="L20" s="15"/>
      <x:c r="M20" s="15"/>
      <x:c r="N20" s="11" t="str">
        <x:f>IF(F20="Không đạt","Cần khắc phục",IF(F20="Chưa xác minh","Chưa xác minh",IF(F20="Chưa đủ bằng chứng","Bổ sung bằng chứng",IF(AND(OR(F20="Đạt",F20="Không áp dụng"),G20&lt;&gt;"",I20&lt;&gt;"",J20&lt;&gt;"",ISNUMBER(K20),K20&gt;0,L20&lt;&gt;""),"Đủ dữ liệu xác minh","Thiếu hồ sơ xác minh"))))</x:f>
        <x:v>Chưa xác minh</x:v>
      </x:c>
    </x:row>
    <x:row r="21" ht="64" customHeight="1">
      <x:c r="A21" s="10" t="str">
        <x:v>C4-LEG-03</x:v>
      </x:c>
      <x:c r="B21" s="10" t="str">
        <x:v>Bảo mật dữ liệu khách hàng</x:v>
      </x:c>
      <x:c r="C21" s="10" t="str">
        <x:v>P0</x:v>
      </x:c>
      <x:c r="D21" s="10" t="str">
        <x:v>Chưa đánh giá</x:v>
      </x:c>
      <x:c r="E21" s="10" t="str">
        <x:v>Legal/Security</x:v>
      </x:c>
      <x:c r="F21" s="15" t="str">
        <x:v>Chưa xác minh</x:v>
      </x:c>
      <x:c r="G21" s="15"/>
      <x:c r="H21" s="16"/>
      <x:c r="I21" s="15"/>
      <x:c r="J21" s="15"/>
      <x:c r="K21" s="16"/>
      <x:c r="L21" s="15"/>
      <x:c r="M21" s="15"/>
      <x:c r="N21" s="10" t="str">
        <x:f>IF(F21="Không đạt","Cần khắc phục",IF(F21="Chưa xác minh","Chưa xác minh",IF(F21="Chưa đủ bằng chứng","Bổ sung bằng chứng",IF(AND(OR(F21="Đạt",F21="Không áp dụng"),G21&lt;&gt;"",I21&lt;&gt;"",J21&lt;&gt;"",ISNUMBER(K21),K21&gt;0,L21&lt;&gt;""),"Đủ dữ liệu xác minh","Thiếu hồ sơ xác minh"))))</x:f>
        <x:v>Chưa xác minh</x:v>
      </x:c>
    </x:row>
    <x:row r="22" ht="64" customHeight="1">
      <x:c r="A22" s="11" t="str">
        <x:v>C4-LEG-04</x:v>
      </x:c>
      <x:c r="B22" s="11" t="str">
        <x:v>Mô hình trách nhiệm chung</x:v>
      </x:c>
      <x:c r="C22" s="11" t="str">
        <x:v>P0</x:v>
      </x:c>
      <x:c r="D22" s="11" t="str">
        <x:v>Chưa đánh giá</x:v>
      </x:c>
      <x:c r="E22" s="11" t="str">
        <x:v>Product/GRC</x:v>
      </x:c>
      <x:c r="F22" s="15" t="str">
        <x:v>Chưa xác minh</x:v>
      </x:c>
      <x:c r="G22" s="15"/>
      <x:c r="H22" s="16"/>
      <x:c r="I22" s="15"/>
      <x:c r="J22" s="15"/>
      <x:c r="K22" s="16"/>
      <x:c r="L22" s="15"/>
      <x:c r="M22" s="15"/>
      <x:c r="N22" s="11" t="str">
        <x:f>IF(F22="Không đạt","Cần khắc phục",IF(F22="Chưa xác minh","Chưa xác minh",IF(F22="Chưa đủ bằng chứng","Bổ sung bằng chứng",IF(AND(OR(F22="Đạt",F22="Không áp dụng"),G22&lt;&gt;"",I22&lt;&gt;"",J22&lt;&gt;"",ISNUMBER(K22),K22&gt;0,L22&lt;&gt;""),"Đủ dữ liệu xác minh","Thiếu hồ sơ xác minh"))))</x:f>
        <x:v>Chưa xác minh</x:v>
      </x:c>
    </x:row>
    <x:row r="23" ht="64" customHeight="1">
      <x:c r="A23" s="10" t="str">
        <x:v>C4-LEG-05</x:v>
      </x:c>
      <x:c r="B23" s="10" t="str">
        <x:v>Quy trình yêu cầu hợp pháp/takedown</x:v>
      </x:c>
      <x:c r="C23" s="10" t="str">
        <x:v>P0</x:v>
      </x:c>
      <x:c r="D23" s="10" t="str">
        <x:v>Chưa đánh giá</x:v>
      </x:c>
      <x:c r="E23" s="10" t="str">
        <x:v>Legal/SOC/NOC</x:v>
      </x:c>
      <x:c r="F23" s="15" t="str">
        <x:v>Chưa xác minh</x:v>
      </x:c>
      <x:c r="G23" s="15"/>
      <x:c r="H23" s="16"/>
      <x:c r="I23" s="15"/>
      <x:c r="J23" s="15"/>
      <x:c r="K23" s="16"/>
      <x:c r="L23" s="15"/>
      <x:c r="M23" s="15"/>
      <x:c r="N23" s="10" t="str">
        <x:f>IF(F23="Không đạt","Cần khắc phục",IF(F23="Chưa xác minh","Chưa xác minh",IF(F23="Chưa đủ bằng chứng","Bổ sung bằng chứng",IF(AND(OR(F23="Đạt",F23="Không áp dụng"),G23&lt;&gt;"",I23&lt;&gt;"",J23&lt;&gt;"",ISNUMBER(K23),K23&gt;0,L23&lt;&gt;""),"Đủ dữ liệu xác minh","Thiếu hồ sơ xác minh"))))</x:f>
        <x:v>Chưa xác minh</x:v>
      </x:c>
    </x:row>
    <x:row r="24" ht="64" customHeight="1">
      <x:c r="A24" s="11" t="str">
        <x:v>C4-LEG-06</x:v>
      </x:c>
      <x:c r="B24" s="11" t="str">
        <x:v>Xác định vai trò xử lý dữ liệu</x:v>
      </x:c>
      <x:c r="C24" s="11" t="str">
        <x:v>P0</x:v>
      </x:c>
      <x:c r="D24" s="11" t="str">
        <x:v>Chưa đánh giá</x:v>
      </x:c>
      <x:c r="E24" s="11" t="str">
        <x:v>DPO/Legal</x:v>
      </x:c>
      <x:c r="F24" s="15" t="str">
        <x:v>Chưa xác minh</x:v>
      </x:c>
      <x:c r="G24" s="15"/>
      <x:c r="H24" s="16"/>
      <x:c r="I24" s="15"/>
      <x:c r="J24" s="15"/>
      <x:c r="K24" s="16"/>
      <x:c r="L24" s="15"/>
      <x:c r="M24" s="15"/>
      <x:c r="N24" s="11" t="str">
        <x:f>IF(F24="Không đạt","Cần khắc phục",IF(F24="Chưa xác minh","Chưa xác minh",IF(F24="Chưa đủ bằng chứng","Bổ sung bằng chứng",IF(AND(OR(F24="Đạt",F24="Không áp dụng"),G24&lt;&gt;"",I24&lt;&gt;"",J24&lt;&gt;"",ISNUMBER(K24),K24&gt;0,L24&lt;&gt;""),"Đủ dữ liệu xác minh","Thiếu hồ sơ xác minh"))))</x:f>
        <x:v>Chưa xác minh</x:v>
      </x:c>
    </x:row>
    <x:row r="25" ht="64" customHeight="1">
      <x:c r="A25" s="10" t="str">
        <x:v>C4-LEG-07</x:v>
      </x:c>
      <x:c r="B25" s="10" t="str">
        <x:v>Đánh giá tác động và chuyển dữ liệu</x:v>
      </x:c>
      <x:c r="C25" s="10" t="str">
        <x:v>P0</x:v>
      </x:c>
      <x:c r="D25" s="10" t="str">
        <x:v>Chưa đánh giá</x:v>
      </x:c>
      <x:c r="E25" s="10" t="str">
        <x:v>DPO/Legal</x:v>
      </x:c>
      <x:c r="F25" s="15" t="str">
        <x:v>Chưa xác minh</x:v>
      </x:c>
      <x:c r="G25" s="15"/>
      <x:c r="H25" s="16"/>
      <x:c r="I25" s="15"/>
      <x:c r="J25" s="15"/>
      <x:c r="K25" s="16"/>
      <x:c r="L25" s="15"/>
      <x:c r="M25" s="15"/>
      <x:c r="N25" s="10" t="str">
        <x:f>IF(F25="Không đạt","Cần khắc phục",IF(F25="Chưa xác minh","Chưa xác minh",IF(F25="Chưa đủ bằng chứng","Bổ sung bằng chứng",IF(AND(OR(F25="Đạt",F25="Không áp dụng"),G25&lt;&gt;"",I25&lt;&gt;"",J25&lt;&gt;"",ISNUMBER(K25),K25&gt;0,L25&lt;&gt;""),"Đủ dữ liệu xác minh","Thiếu hồ sơ xác minh"))))</x:f>
        <x:v>Chưa xác minh</x:v>
      </x:c>
    </x:row>
    <x:row r="26" ht="64" customHeight="1">
      <x:c r="A26" s="11" t="str">
        <x:v>C4-LEG-08</x:v>
      </x:c>
      <x:c r="B26" s="11" t="str">
        <x:v>Quyền chủ thể, lưu giữ và xóa</x:v>
      </x:c>
      <x:c r="C26" s="11" t="str">
        <x:v>P0</x:v>
      </x:c>
      <x:c r="D26" s="11" t="str">
        <x:v>Chưa đánh giá</x:v>
      </x:c>
      <x:c r="E26" s="11" t="str">
        <x:v>DPO/Product/Ops</x:v>
      </x:c>
      <x:c r="F26" s="15" t="str">
        <x:v>Chưa xác minh</x:v>
      </x:c>
      <x:c r="G26" s="15"/>
      <x:c r="H26" s="16"/>
      <x:c r="I26" s="15"/>
      <x:c r="J26" s="15"/>
      <x:c r="K26" s="16"/>
      <x:c r="L26" s="15"/>
      <x:c r="M26" s="15"/>
      <x:c r="N26" s="11" t="str">
        <x:f>IF(F26="Không đạt","Cần khắc phục",IF(F26="Chưa xác minh","Chưa xác minh",IF(F26="Chưa đủ bằng chứng","Bổ sung bằng chứng",IF(AND(OR(F26="Đạt",F26="Không áp dụng"),G26&lt;&gt;"",I26&lt;&gt;"",J26&lt;&gt;"",ISNUMBER(K26),K26&gt;0,L26&lt;&gt;""),"Đủ dữ liệu xác minh","Thiếu hồ sơ xác minh"))))</x:f>
        <x:v>Chưa xác minh</x:v>
      </x:c>
    </x:row>
    <x:row r="27" ht="64" customHeight="1">
      <x:c r="A27" s="10" t="str">
        <x:v>C4-LEG-09</x:v>
      </x:c>
      <x:c r="B27" s="10" t="str">
        <x:v>Ứng phó vi phạm dữ liệu</x:v>
      </x:c>
      <x:c r="C27" s="10" t="str">
        <x:v>P0</x:v>
      </x:c>
      <x:c r="D27" s="10" t="str">
        <x:v>Chưa đánh giá</x:v>
      </x:c>
      <x:c r="E27" s="10" t="str">
        <x:v>DPO/SOC/Legal</x:v>
      </x:c>
      <x:c r="F27" s="15" t="str">
        <x:v>Chưa xác minh</x:v>
      </x:c>
      <x:c r="G27" s="15"/>
      <x:c r="H27" s="16"/>
      <x:c r="I27" s="15"/>
      <x:c r="J27" s="15"/>
      <x:c r="K27" s="16"/>
      <x:c r="L27" s="15"/>
      <x:c r="M27" s="15"/>
      <x:c r="N27" s="10" t="str">
        <x:f>IF(F27="Không đạt","Cần khắc phục",IF(F27="Chưa xác minh","Chưa xác minh",IF(F27="Chưa đủ bằng chứng","Bổ sung bằng chứng",IF(AND(OR(F27="Đạt",F27="Không áp dụng"),G27&lt;&gt;"",I27&lt;&gt;"",J27&lt;&gt;"",ISNUMBER(K27),K27&gt;0,L27&lt;&gt;""),"Đủ dữ liệu xác minh","Thiếu hồ sơ xác minh"))))</x:f>
        <x:v>Chưa xác minh</x:v>
      </x:c>
    </x:row>
    <x:row r="28" ht="64" customHeight="1">
      <x:c r="A28" s="11" t="str">
        <x:v>C4-RM-01</x:v>
      </x:c>
      <x:c r="B28" s="11" t="str">
        <x:v>Quy định và quy trình quản lý rủi ro</x:v>
      </x:c>
      <x:c r="C28" s="11" t="str">
        <x:v>P0</x:v>
      </x:c>
      <x:c r="D28" s="11" t="str">
        <x:v>Chưa đánh giá</x:v>
      </x:c>
      <x:c r="E28" s="11" t="str">
        <x:v>CISO/GRC</x:v>
      </x:c>
      <x:c r="F28" s="15" t="str">
        <x:v>Chưa xác minh</x:v>
      </x:c>
      <x:c r="G28" s="15"/>
      <x:c r="H28" s="16"/>
      <x:c r="I28" s="15"/>
      <x:c r="J28" s="15"/>
      <x:c r="K28" s="16"/>
      <x:c r="L28" s="15"/>
      <x:c r="M28" s="15"/>
      <x:c r="N28" s="11" t="str">
        <x:f>IF(F28="Không đạt","Cần khắc phục",IF(F28="Chưa xác minh","Chưa xác minh",IF(F28="Chưa đủ bằng chứng","Bổ sung bằng chứng",IF(AND(OR(F28="Đạt",F28="Không áp dụng"),G28&lt;&gt;"",I28&lt;&gt;"",J28&lt;&gt;"",ISNUMBER(K28),K28&gt;0,L28&lt;&gt;""),"Đủ dữ liệu xác minh","Thiếu hồ sơ xác minh"))))</x:f>
        <x:v>Chưa xác minh</x:v>
      </x:c>
    </x:row>
    <x:row r="29" ht="64" customHeight="1">
      <x:c r="A29" s="10" t="str">
        <x:v>C4-RM-02</x:v>
      </x:c>
      <x:c r="B29" s="10" t="str">
        <x:v>Risk register và kế hoạch xử lý</x:v>
      </x:c>
      <x:c r="C29" s="10" t="str">
        <x:v>P0</x:v>
      </x:c>
      <x:c r="D29" s="10" t="str">
        <x:v>Chưa đánh giá</x:v>
      </x:c>
      <x:c r="E29" s="10" t="str">
        <x:v>CISO/GRC</x:v>
      </x:c>
      <x:c r="F29" s="15" t="str">
        <x:v>Chưa xác minh</x:v>
      </x:c>
      <x:c r="G29" s="15"/>
      <x:c r="H29" s="16"/>
      <x:c r="I29" s="15"/>
      <x:c r="J29" s="15"/>
      <x:c r="K29" s="16"/>
      <x:c r="L29" s="15"/>
      <x:c r="M29" s="15"/>
      <x:c r="N29" s="10" t="str">
        <x:f>IF(F29="Không đạt","Cần khắc phục",IF(F29="Chưa xác minh","Chưa xác minh",IF(F29="Chưa đủ bằng chứng","Bổ sung bằng chứng",IF(AND(OR(F29="Đạt",F29="Không áp dụng"),G29&lt;&gt;"",I29&lt;&gt;"",J29&lt;&gt;"",ISNUMBER(K29),K29&gt;0,L29&lt;&gt;""),"Đủ dữ liệu xác minh","Thiếu hồ sơ xác minh"))))</x:f>
        <x:v>Chưa xác minh</x:v>
      </x:c>
    </x:row>
    <x:row r="30" ht="64" customHeight="1">
      <x:c r="A30" s="11" t="str">
        <x:v>C4-RM-03</x:v>
      </x:c>
      <x:c r="B30" s="11" t="str">
        <x:v>Đánh giá thay đổi lớn</x:v>
      </x:c>
      <x:c r="C30" s="11" t="str">
        <x:v>P0</x:v>
      </x:c>
      <x:c r="D30" s="11" t="str">
        <x:v>Chưa đánh giá</x:v>
      </x:c>
      <x:c r="E30" s="11" t="str">
        <x:v>Architecture/Security</x:v>
      </x:c>
      <x:c r="F30" s="15" t="str">
        <x:v>Chưa xác minh</x:v>
      </x:c>
      <x:c r="G30" s="15"/>
      <x:c r="H30" s="16"/>
      <x:c r="I30" s="15"/>
      <x:c r="J30" s="15"/>
      <x:c r="K30" s="16"/>
      <x:c r="L30" s="15"/>
      <x:c r="M30" s="15"/>
      <x:c r="N30" s="11" t="str">
        <x:f>IF(F30="Không đạt","Cần khắc phục",IF(F30="Chưa xác minh","Chưa xác minh",IF(F30="Chưa đủ bằng chứng","Bổ sung bằng chứng",IF(AND(OR(F30="Đạt",F30="Không áp dụng"),G30&lt;&gt;"",I30&lt;&gt;"",J30&lt;&gt;"",ISNUMBER(K30),K30&gt;0,L30&lt;&gt;""),"Đủ dữ liệu xác minh","Thiếu hồ sơ xác minh"))))</x:f>
        <x:v>Chưa xác minh</x:v>
      </x:c>
    </x:row>
    <x:row r="31" ht="64" customHeight="1">
      <x:c r="A31" s="10" t="str">
        <x:v>C4-AST-01</x:v>
      </x:c>
      <x:c r="B31" s="10" t="str">
        <x:v>CMDB phần cứng</x:v>
      </x:c>
      <x:c r="C31" s="10" t="str">
        <x:v>P0</x:v>
      </x:c>
      <x:c r="D31" s="10" t="str">
        <x:v>Đang thực hiện</x:v>
      </x:c>
      <x:c r="E31" s="10" t="str">
        <x:v>ITAM/DC Ops</x:v>
      </x:c>
      <x:c r="F31" s="15" t="str">
        <x:v>Chưa xác minh</x:v>
      </x:c>
      <x:c r="G31" s="15"/>
      <x:c r="H31" s="16"/>
      <x:c r="I31" s="15"/>
      <x:c r="J31" s="15"/>
      <x:c r="K31" s="16"/>
      <x:c r="L31" s="15"/>
      <x:c r="M31" s="15"/>
      <x:c r="N31" s="10" t="str">
        <x:f>IF(F31="Không đạt","Cần khắc phục",IF(F31="Chưa xác minh","Chưa xác minh",IF(F31="Chưa đủ bằng chứng","Bổ sung bằng chứng",IF(AND(OR(F31="Đạt",F31="Không áp dụng"),G31&lt;&gt;"",I31&lt;&gt;"",J31&lt;&gt;"",ISNUMBER(K31),K31&gt;0,L31&lt;&gt;""),"Đủ dữ liệu xác minh","Thiếu hồ sơ xác minh"))))</x:f>
        <x:v>Chưa xác minh</x:v>
      </x:c>
    </x:row>
    <x:row r="32" ht="64" customHeight="1">
      <x:c r="A32" s="11" t="str">
        <x:v>C4-AST-02</x:v>
      </x:c>
      <x:c r="B32" s="11" t="str">
        <x:v>Phát hiện tài sản chưa quản lý</x:v>
      </x:c>
      <x:c r="C32" s="11" t="str">
        <x:v>P1</x:v>
      </x:c>
      <x:c r="D32" s="11" t="str">
        <x:v>Chưa đánh giá</x:v>
      </x:c>
      <x:c r="E32" s="11" t="str">
        <x:v>NetOps/SOC</x:v>
      </x:c>
      <x:c r="F32" s="15" t="str">
        <x:v>Chưa xác minh</x:v>
      </x:c>
      <x:c r="G32" s="15"/>
      <x:c r="H32" s="16"/>
      <x:c r="I32" s="15"/>
      <x:c r="J32" s="15"/>
      <x:c r="K32" s="16"/>
      <x:c r="L32" s="15"/>
      <x:c r="M32" s="15"/>
      <x:c r="N32" s="11" t="str">
        <x:f>IF(F32="Không đạt","Cần khắc phục",IF(F32="Chưa xác minh","Chưa xác minh",IF(F32="Chưa đủ bằng chứng","Bổ sung bằng chứng",IF(AND(OR(F32="Đạt",F32="Không áp dụng"),G32&lt;&gt;"",I32&lt;&gt;"",J32&lt;&gt;"",ISNUMBER(K32),K32&gt;0,L32&lt;&gt;""),"Đủ dữ liệu xác minh","Thiếu hồ sơ xác minh"))))</x:f>
        <x:v>Chưa xác minh</x:v>
      </x:c>
    </x:row>
    <x:row r="33" ht="64" customHeight="1">
      <x:c r="A33" s="10" t="str">
        <x:v>C4-AST-03</x:v>
      </x:c>
      <x:c r="B33" s="10" t="str">
        <x:v>Vòng đời và hỗ trợ</x:v>
      </x:c>
      <x:c r="C33" s="10" t="str">
        <x:v>P0</x:v>
      </x:c>
      <x:c r="D33" s="10" t="str">
        <x:v>Cần xác minh</x:v>
      </x:c>
      <x:c r="E33" s="10" t="str">
        <x:v>ITAM/Procurement</x:v>
      </x:c>
      <x:c r="F33" s="15" t="str">
        <x:v>Chưa xác minh</x:v>
      </x:c>
      <x:c r="G33" s="15"/>
      <x:c r="H33" s="16"/>
      <x:c r="I33" s="15"/>
      <x:c r="J33" s="15"/>
      <x:c r="K33" s="16"/>
      <x:c r="L33" s="15"/>
      <x:c r="M33" s="15"/>
      <x:c r="N33" s="10" t="str">
        <x:f>IF(F33="Không đạt","Cần khắc phục",IF(F33="Chưa xác minh","Chưa xác minh",IF(F33="Chưa đủ bằng chứng","Bổ sung bằng chứng",IF(AND(OR(F33="Đạt",F33="Không áp dụng"),G33&lt;&gt;"",I33&lt;&gt;"",J33&lt;&gt;"",ISNUMBER(K33),K33&gt;0,L33&lt;&gt;""),"Đủ dữ liệu xác minh","Thiếu hồ sơ xác minh"))))</x:f>
        <x:v>Chưa xác minh</x:v>
      </x:c>
    </x:row>
    <x:row r="34" ht="64" customHeight="1">
      <x:c r="A34" s="11" t="str">
        <x:v>C4-AST-04</x:v>
      </x:c>
      <x:c r="B34" s="11" t="str">
        <x:v>Thanh lý/chuyển giao an toàn</x:v>
      </x:c>
      <x:c r="C34" s="11" t="str">
        <x:v>P1</x:v>
      </x:c>
      <x:c r="D34" s="11" t="str">
        <x:v>Chưa đánh giá</x:v>
      </x:c>
      <x:c r="E34" s="11" t="str">
        <x:v>ITAM/Security</x:v>
      </x:c>
      <x:c r="F34" s="15" t="str">
        <x:v>Chưa xác minh</x:v>
      </x:c>
      <x:c r="G34" s="15"/>
      <x:c r="H34" s="16"/>
      <x:c r="I34" s="15"/>
      <x:c r="J34" s="15"/>
      <x:c r="K34" s="16"/>
      <x:c r="L34" s="15"/>
      <x:c r="M34" s="15"/>
      <x:c r="N34" s="11" t="str">
        <x:f>IF(F34="Không đạt","Cần khắc phục",IF(F34="Chưa xác minh","Chưa xác minh",IF(F34="Chưa đủ bằng chứng","Bổ sung bằng chứng",IF(AND(OR(F34="Đạt",F34="Không áp dụng"),G34&lt;&gt;"",I34&lt;&gt;"",J34&lt;&gt;"",ISNUMBER(K34),K34&gt;0,L34&lt;&gt;""),"Đủ dữ liệu xác minh","Thiếu hồ sơ xác minh"))))</x:f>
        <x:v>Chưa xác minh</x:v>
      </x:c>
    </x:row>
    <x:row r="35" ht="64" customHeight="1">
      <x:c r="A35" s="10" t="str">
        <x:v>C4-SW-01</x:v>
      </x:c>
      <x:c r="B35" s="10" t="str">
        <x:v>SBOM và danh mục phần mềm</x:v>
      </x:c>
      <x:c r="C35" s="10" t="str">
        <x:v>P0</x:v>
      </x:c>
      <x:c r="D35" s="10" t="str">
        <x:v>Chưa đánh giá</x:v>
      </x:c>
      <x:c r="E35" s="10" t="str">
        <x:v>Platform/SecOps</x:v>
      </x:c>
      <x:c r="F35" s="15" t="str">
        <x:v>Chưa xác minh</x:v>
      </x:c>
      <x:c r="G35" s="15"/>
      <x:c r="H35" s="16"/>
      <x:c r="I35" s="15"/>
      <x:c r="J35" s="15"/>
      <x:c r="K35" s="16"/>
      <x:c r="L35" s="15"/>
      <x:c r="M35" s="15"/>
      <x:c r="N35" s="10" t="str">
        <x:f>IF(F35="Không đạt","Cần khắc phục",IF(F35="Chưa xác minh","Chưa xác minh",IF(F35="Chưa đủ bằng chứng","Bổ sung bằng chứng",IF(AND(OR(F35="Đạt",F35="Không áp dụng"),G35&lt;&gt;"",I35&lt;&gt;"",J35&lt;&gt;"",ISNUMBER(K35),K35&gt;0,L35&lt;&gt;""),"Đủ dữ liệu xác minh","Thiếu hồ sơ xác minh"))))</x:f>
        <x:v>Chưa xác minh</x:v>
      </x:c>
    </x:row>
    <x:row r="36" ht="64" customHeight="1">
      <x:c r="A36" s="11" t="str">
        <x:v>C4-SW-02</x:v>
      </x:c>
      <x:c r="B36" s="11" t="str">
        <x:v>Danh sách cho phép</x:v>
      </x:c>
      <x:c r="C36" s="11" t="str">
        <x:v>P0</x:v>
      </x:c>
      <x:c r="D36" s="11" t="str">
        <x:v>Không đạt</x:v>
      </x:c>
      <x:c r="E36" s="11" t="str">
        <x:v>Platform/SecOps</x:v>
      </x:c>
      <x:c r="F36" s="15" t="str">
        <x:v>Chưa xác minh</x:v>
      </x:c>
      <x:c r="G36" s="15"/>
      <x:c r="H36" s="16"/>
      <x:c r="I36" s="15"/>
      <x:c r="J36" s="15"/>
      <x:c r="K36" s="16"/>
      <x:c r="L36" s="15"/>
      <x:c r="M36" s="15"/>
      <x:c r="N36" s="11" t="str">
        <x:f>IF(F36="Không đạt","Cần khắc phục",IF(F36="Chưa xác minh","Chưa xác minh",IF(F36="Chưa đủ bằng chứng","Bổ sung bằng chứng",IF(AND(OR(F36="Đạt",F36="Không áp dụng"),G36&lt;&gt;"",I36&lt;&gt;"",J36&lt;&gt;"",ISNUMBER(K36),K36&gt;0,L36&lt;&gt;""),"Đủ dữ liệu xác minh","Thiếu hồ sơ xác minh"))))</x:f>
        <x:v>Chưa xác minh</x:v>
      </x:c>
    </x:row>
    <x:row r="37" ht="64" customHeight="1">
      <x:c r="A37" s="10" t="str">
        <x:v>C4-SW-03</x:v>
      </x:c>
      <x:c r="B37" s="10" t="str">
        <x:v>Phần mềm còn hỗ trợ</x:v>
      </x:c>
      <x:c r="C37" s="10" t="str">
        <x:v>P0</x:v>
      </x:c>
      <x:c r="D37" s="10" t="str">
        <x:v>Chưa đánh giá</x:v>
      </x:c>
      <x:c r="E37" s="10" t="str">
        <x:v>Platform/ITAM</x:v>
      </x:c>
      <x:c r="F37" s="15" t="str">
        <x:v>Chưa xác minh</x:v>
      </x:c>
      <x:c r="G37" s="15"/>
      <x:c r="H37" s="16"/>
      <x:c r="I37" s="15"/>
      <x:c r="J37" s="15"/>
      <x:c r="K37" s="16"/>
      <x:c r="L37" s="15"/>
      <x:c r="M37" s="15"/>
      <x:c r="N37" s="10" t="str">
        <x:f>IF(F37="Không đạt","Cần khắc phục",IF(F37="Chưa xác minh","Chưa xác minh",IF(F37="Chưa đủ bằng chứng","Bổ sung bằng chứng",IF(AND(OR(F37="Đạt",F37="Không áp dụng"),G37&lt;&gt;"",I37&lt;&gt;"",J37&lt;&gt;"",ISNUMBER(K37),K37&gt;0,L37&lt;&gt;""),"Đủ dữ liệu xác minh","Thiếu hồ sơ xác minh"))))</x:f>
        <x:v>Chưa xác minh</x:v>
      </x:c>
    </x:row>
    <x:row r="38" ht="64" customHeight="1">
      <x:c r="A38" s="11" t="str">
        <x:v>C4-SW-04</x:v>
      </x:c>
      <x:c r="B38" s="11" t="str">
        <x:v>Đối soát bản dựng</x:v>
      </x:c>
      <x:c r="C38" s="11" t="str">
        <x:v>P1</x:v>
      </x:c>
      <x:c r="D38" s="11" t="str">
        <x:v>Đạt</x:v>
      </x:c>
      <x:c r="E38" s="11" t="str">
        <x:v>DevSecOps</x:v>
      </x:c>
      <x:c r="F38" s="15" t="str">
        <x:v>Chưa xác minh</x:v>
      </x:c>
      <x:c r="G38" s="15"/>
      <x:c r="H38" s="16"/>
      <x:c r="I38" s="15"/>
      <x:c r="J38" s="15"/>
      <x:c r="K38" s="16"/>
      <x:c r="L38" s="15"/>
      <x:c r="M38" s="15"/>
      <x:c r="N38" s="11" t="str">
        <x:f>IF(F38="Không đạt","Cần khắc phục",IF(F38="Chưa xác minh","Chưa xác minh",IF(F38="Chưa đủ bằng chứng","Bổ sung bằng chứng",IF(AND(OR(F38="Đạt",F38="Không áp dụng"),G38&lt;&gt;"",I38&lt;&gt;"",J38&lt;&gt;"",ISNUMBER(K38),K38&gt;0,L38&lt;&gt;""),"Đủ dữ liệu xác minh","Thiếu hồ sơ xác minh"))))</x:f>
        <x:v>Chưa xác minh</x:v>
      </x:c>
    </x:row>
    <x:row r="39" ht="64" customHeight="1">
      <x:c r="A39" s="10" t="str">
        <x:v>C4-SW-05</x:v>
      </x:c>
      <x:c r="B39" s="10" t="str">
        <x:v>Quét lỗ hổng image</x:v>
      </x:c>
      <x:c r="C39" s="10" t="str">
        <x:v>P0</x:v>
      </x:c>
      <x:c r="D39" s="10" t="str">
        <x:v>Đang thực hiện</x:v>
      </x:c>
      <x:c r="E39" s="10" t="str">
        <x:v>DevSecOps/SecOps</x:v>
      </x:c>
      <x:c r="F39" s="15" t="str">
        <x:v>Chưa xác minh</x:v>
      </x:c>
      <x:c r="G39" s="15"/>
      <x:c r="H39" s="16"/>
      <x:c r="I39" s="15"/>
      <x:c r="J39" s="15"/>
      <x:c r="K39" s="16"/>
      <x:c r="L39" s="15"/>
      <x:c r="M39" s="15"/>
      <x:c r="N39" s="10" t="str">
        <x:f>IF(F39="Không đạt","Cần khắc phục",IF(F39="Chưa xác minh","Chưa xác minh",IF(F39="Chưa đủ bằng chứng","Bổ sung bằng chứng",IF(AND(OR(F39="Đạt",F39="Không áp dụng"),G39&lt;&gt;"",I39&lt;&gt;"",J39&lt;&gt;"",ISNUMBER(K39),K39&gt;0,L39&lt;&gt;""),"Đủ dữ liệu xác minh","Thiếu hồ sơ xác minh"))))</x:f>
        <x:v>Chưa xác minh</x:v>
      </x:c>
    </x:row>
    <x:row r="40" ht="64" customHeight="1">
      <x:c r="A40" s="11" t="str">
        <x:v>C4-DAT-01</x:v>
      </x:c>
      <x:c r="B40" s="11" t="str">
        <x:v>Phân loại và chủ sở hữu dữ liệu</x:v>
      </x:c>
      <x:c r="C40" s="11" t="str">
        <x:v>P0</x:v>
      </x:c>
      <x:c r="D40" s="11" t="str">
        <x:v>Chưa đánh giá</x:v>
      </x:c>
      <x:c r="E40" s="11" t="str">
        <x:v>DPO/Data Owner</x:v>
      </x:c>
      <x:c r="F40" s="15" t="str">
        <x:v>Chưa xác minh</x:v>
      </x:c>
      <x:c r="G40" s="15"/>
      <x:c r="H40" s="16"/>
      <x:c r="I40" s="15"/>
      <x:c r="J40" s="15"/>
      <x:c r="K40" s="16"/>
      <x:c r="L40" s="15"/>
      <x:c r="M40" s="15"/>
      <x:c r="N40" s="11" t="str">
        <x:f>IF(F40="Không đạt","Cần khắc phục",IF(F40="Chưa xác minh","Chưa xác minh",IF(F40="Chưa đủ bằng chứng","Bổ sung bằng chứng",IF(AND(OR(F40="Đạt",F40="Không áp dụng"),G40&lt;&gt;"",I40&lt;&gt;"",J40&lt;&gt;"",ISNUMBER(K40),K40&gt;0,L40&lt;&gt;""),"Đủ dữ liệu xác minh","Thiếu hồ sơ xác minh"))))</x:f>
        <x:v>Chưa xác minh</x:v>
      </x:c>
    </x:row>
    <x:row r="41" ht="64" customHeight="1">
      <x:c r="A41" s="10" t="str">
        <x:v>C4-DAT-02</x:v>
      </x:c>
      <x:c r="B41" s="10" t="str">
        <x:v>Rà soát quyền dữ liệu</x:v>
      </x:c>
      <x:c r="C41" s="10" t="str">
        <x:v>P0</x:v>
      </x:c>
      <x:c r="D41" s="10" t="str">
        <x:v>Chưa đánh giá</x:v>
      </x:c>
      <x:c r="E41" s="10" t="str">
        <x:v>Data Owner/IAM</x:v>
      </x:c>
      <x:c r="F41" s="15" t="str">
        <x:v>Chưa xác minh</x:v>
      </x:c>
      <x:c r="G41" s="15"/>
      <x:c r="H41" s="16"/>
      <x:c r="I41" s="15"/>
      <x:c r="J41" s="15"/>
      <x:c r="K41" s="16"/>
      <x:c r="L41" s="15"/>
      <x:c r="M41" s="15"/>
      <x:c r="N41" s="10" t="str">
        <x:f>IF(F41="Không đạt","Cần khắc phục",IF(F41="Chưa xác minh","Chưa xác minh",IF(F41="Chưa đủ bằng chứng","Bổ sung bằng chứng",IF(AND(OR(F41="Đạt",F41="Không áp dụng"),G41&lt;&gt;"",I41&lt;&gt;"",J41&lt;&gt;"",ISNUMBER(K41),K41&gt;0,L41&lt;&gt;""),"Đủ dữ liệu xác minh","Thiếu hồ sơ xác minh"))))</x:f>
        <x:v>Chưa xác minh</x:v>
      </x:c>
    </x:row>
    <x:row r="42" ht="64" customHeight="1">
      <x:c r="A42" s="11" t="str">
        <x:v>C4-DAT-03</x:v>
      </x:c>
      <x:c r="B42" s="11" t="str">
        <x:v>Mã hóa dữ liệu quan trọng</x:v>
      </x:c>
      <x:c r="C42" s="11" t="str">
        <x:v>P0</x:v>
      </x:c>
      <x:c r="D42" s="11" t="str">
        <x:v>Chưa đánh giá</x:v>
      </x:c>
      <x:c r="E42" s="11" t="str">
        <x:v>Security/Platform</x:v>
      </x:c>
      <x:c r="F42" s="15" t="str">
        <x:v>Chưa xác minh</x:v>
      </x:c>
      <x:c r="G42" s="15"/>
      <x:c r="H42" s="16"/>
      <x:c r="I42" s="15"/>
      <x:c r="J42" s="15"/>
      <x:c r="K42" s="16"/>
      <x:c r="L42" s="15"/>
      <x:c r="M42" s="15"/>
      <x:c r="N42" s="11" t="str">
        <x:f>IF(F42="Không đạt","Cần khắc phục",IF(F42="Chưa xác minh","Chưa xác minh",IF(F42="Chưa đủ bằng chứng","Bổ sung bằng chứng",IF(AND(OR(F42="Đạt",F42="Không áp dụng"),G42&lt;&gt;"",I42&lt;&gt;"",J42&lt;&gt;"",ISNUMBER(K42),K42&gt;0,L42&lt;&gt;""),"Đủ dữ liệu xác minh","Thiếu hồ sơ xác minh"))))</x:f>
        <x:v>Chưa xác minh</x:v>
      </x:c>
    </x:row>
    <x:row r="43" ht="64" customHeight="1">
      <x:c r="A43" s="10" t="str">
        <x:v>C4-DAT-04</x:v>
      </x:c>
      <x:c r="B43" s="10" t="str">
        <x:v>Toàn vẹn và luồng dữ liệu</x:v>
      </x:c>
      <x:c r="C43" s="10" t="str">
        <x:v>P1</x:v>
      </x:c>
      <x:c r="D43" s="10" t="str">
        <x:v>Chưa đánh giá</x:v>
      </x:c>
      <x:c r="E43" s="10" t="str">
        <x:v>Architecture/Data</x:v>
      </x:c>
      <x:c r="F43" s="15" t="str">
        <x:v>Chưa xác minh</x:v>
      </x:c>
      <x:c r="G43" s="15"/>
      <x:c r="H43" s="16"/>
      <x:c r="I43" s="15"/>
      <x:c r="J43" s="15"/>
      <x:c r="K43" s="16"/>
      <x:c r="L43" s="15"/>
      <x:c r="M43" s="15"/>
      <x:c r="N43" s="10" t="str">
        <x:f>IF(F43="Không đạt","Cần khắc phục",IF(F43="Chưa xác minh","Chưa xác minh",IF(F43="Chưa đủ bằng chứng","Bổ sung bằng chứng",IF(AND(OR(F43="Đạt",F43="Không áp dụng"),G43&lt;&gt;"",I43&lt;&gt;"",J43&lt;&gt;"",ISNUMBER(K43),K43&gt;0,L43&lt;&gt;""),"Đủ dữ liệu xác minh","Thiếu hồ sơ xác minh"))))</x:f>
        <x:v>Chưa xác minh</x:v>
      </x:c>
    </x:row>
    <x:row r="44" ht="64" customHeight="1">
      <x:c r="A44" s="11" t="str">
        <x:v>C4-DAT-05</x:v>
      </x:c>
      <x:c r="B44" s="11" t="str">
        <x:v>Tách biệt xử lý/lưu trữ</x:v>
      </x:c>
      <x:c r="C44" s="11" t="str">
        <x:v>P0</x:v>
      </x:c>
      <x:c r="D44" s="11" t="str">
        <x:v>Đang thực hiện</x:v>
      </x:c>
      <x:c r="E44" s="11" t="str">
        <x:v>Architecture/Storage</x:v>
      </x:c>
      <x:c r="F44" s="15" t="str">
        <x:v>Chưa xác minh</x:v>
      </x:c>
      <x:c r="G44" s="15"/>
      <x:c r="H44" s="16"/>
      <x:c r="I44" s="15"/>
      <x:c r="J44" s="15"/>
      <x:c r="K44" s="16"/>
      <x:c r="L44" s="15"/>
      <x:c r="M44" s="15"/>
      <x:c r="N44" s="11" t="str">
        <x:f>IF(F44="Không đạt","Cần khắc phục",IF(F44="Chưa xác minh","Chưa xác minh",IF(F44="Chưa đủ bằng chứng","Bổ sung bằng chứng",IF(AND(OR(F44="Đạt",F44="Không áp dụng"),G44&lt;&gt;"",I44&lt;&gt;"",J44&lt;&gt;"",ISNUMBER(K44),K44&gt;0,L44&lt;&gt;""),"Đủ dữ liệu xác minh","Thiếu hồ sơ xác minh"))))</x:f>
        <x:v>Chưa xác minh</x:v>
      </x:c>
    </x:row>
    <x:row r="45" ht="64" customHeight="1">
      <x:c r="A45" s="10" t="str">
        <x:v>C4-DAT-06</x:v>
      </x:c>
      <x:c r="B45" s="10" t="str">
        <x:v>DLP và log truy cập dữ liệu quan trọng</x:v>
      </x:c>
      <x:c r="C45" s="10" t="str">
        <x:v>P1</x:v>
      </x:c>
      <x:c r="D45" s="10" t="str">
        <x:v>Chưa đánh giá</x:v>
      </x:c>
      <x:c r="E45" s="10" t="str">
        <x:v>SOC/DPO</x:v>
      </x:c>
      <x:c r="F45" s="15" t="str">
        <x:v>Chưa xác minh</x:v>
      </x:c>
      <x:c r="G45" s="15"/>
      <x:c r="H45" s="16"/>
      <x:c r="I45" s="15"/>
      <x:c r="J45" s="15"/>
      <x:c r="K45" s="16"/>
      <x:c r="L45" s="15"/>
      <x:c r="M45" s="15"/>
      <x:c r="N45" s="10" t="str">
        <x:f>IF(F45="Không đạt","Cần khắc phục",IF(F45="Chưa xác minh","Chưa xác minh",IF(F45="Chưa đủ bằng chứng","Bổ sung bằng chứng",IF(AND(OR(F45="Đạt",F45="Không áp dụng"),G45&lt;&gt;"",I45&lt;&gt;"",J45&lt;&gt;"",ISNUMBER(K45),K45&gt;0,L45&lt;&gt;""),"Đủ dữ liệu xác minh","Thiếu hồ sơ xác minh"))))</x:f>
        <x:v>Chưa xác minh</x:v>
      </x:c>
    </x:row>
    <x:row r="46" ht="64" customHeight="1">
      <x:c r="A46" s="11" t="str">
        <x:v>C4-CFG-01</x:v>
      </x:c>
      <x:c r="B46" s="11" t="str">
        <x:v>Baseline cấu hình</x:v>
      </x:c>
      <x:c r="C46" s="11" t="str">
        <x:v>P0</x:v>
      </x:c>
      <x:c r="D46" s="11" t="str">
        <x:v>Chưa đánh giá</x:v>
      </x:c>
      <x:c r="E46" s="11" t="str">
        <x:v>Platform/SecOps</x:v>
      </x:c>
      <x:c r="F46" s="15" t="str">
        <x:v>Chưa xác minh</x:v>
      </x:c>
      <x:c r="G46" s="15"/>
      <x:c r="H46" s="16"/>
      <x:c r="I46" s="15"/>
      <x:c r="J46" s="15"/>
      <x:c r="K46" s="16"/>
      <x:c r="L46" s="15"/>
      <x:c r="M46" s="15"/>
      <x:c r="N46" s="11" t="str">
        <x:f>IF(F46="Không đạt","Cần khắc phục",IF(F46="Chưa xác minh","Chưa xác minh",IF(F46="Chưa đủ bằng chứng","Bổ sung bằng chứng",IF(AND(OR(F46="Đạt",F46="Không áp dụng"),G46&lt;&gt;"",I46&lt;&gt;"",J46&lt;&gt;"",ISNUMBER(K46),K46&gt;0,L46&lt;&gt;""),"Đủ dữ liệu xác minh","Thiếu hồ sơ xác minh"))))</x:f>
        <x:v>Chưa xác minh</x:v>
      </x:c>
    </x:row>
    <x:row r="47" ht="64" customHeight="1">
      <x:c r="A47" s="10" t="str">
        <x:v>C4-CFG-02</x:v>
      </x:c>
      <x:c r="B47" s="10" t="str">
        <x:v>Khóa phiên và timeout</x:v>
      </x:c>
      <x:c r="C47" s="10" t="str">
        <x:v>P1</x:v>
      </x:c>
      <x:c r="D47" s="10" t="str">
        <x:v>Chưa đánh giá</x:v>
      </x:c>
      <x:c r="E47" s="10" t="str">
        <x:v>IAM/Platform</x:v>
      </x:c>
      <x:c r="F47" s="15" t="str">
        <x:v>Chưa xác minh</x:v>
      </x:c>
      <x:c r="G47" s="15"/>
      <x:c r="H47" s="16"/>
      <x:c r="I47" s="15"/>
      <x:c r="J47" s="15"/>
      <x:c r="K47" s="16"/>
      <x:c r="L47" s="15"/>
      <x:c r="M47" s="15"/>
      <x:c r="N47" s="10" t="str">
        <x:f>IF(F47="Không đạt","Cần khắc phục",IF(F47="Chưa xác minh","Chưa xác minh",IF(F47="Chưa đủ bằng chứng","Bổ sung bằng chứng",IF(AND(OR(F47="Đạt",F47="Không áp dụng"),G47&lt;&gt;"",I47&lt;&gt;"",J47&lt;&gt;"",ISNUMBER(K47),K47&gt;0,L47&lt;&gt;""),"Đủ dữ liệu xác minh","Thiếu hồ sơ xác minh"))))</x:f>
        <x:v>Chưa xác minh</x:v>
      </x:c>
    </x:row>
    <x:row r="48" ht="64" customHeight="1">
      <x:c r="A48" s="11" t="str">
        <x:v>C4-CFG-03</x:v>
      </x:c>
      <x:c r="B48" s="11" t="str">
        <x:v>Tắt dịch vụ không cần thiết</x:v>
      </x:c>
      <x:c r="C48" s="11" t="str">
        <x:v>P1</x:v>
      </x:c>
      <x:c r="D48" s="11" t="str">
        <x:v>Chưa đánh giá</x:v>
      </x:c>
      <x:c r="E48" s="11" t="str">
        <x:v>Platform/SecOps</x:v>
      </x:c>
      <x:c r="F48" s="15" t="str">
        <x:v>Chưa xác minh</x:v>
      </x:c>
      <x:c r="G48" s="15"/>
      <x:c r="H48" s="16"/>
      <x:c r="I48" s="15"/>
      <x:c r="J48" s="15"/>
      <x:c r="K48" s="16"/>
      <x:c r="L48" s="15"/>
      <x:c r="M48" s="15"/>
      <x:c r="N48" s="11" t="str">
        <x:f>IF(F48="Không đạt","Cần khắc phục",IF(F48="Chưa xác minh","Chưa xác minh",IF(F48="Chưa đủ bằng chứng","Bổ sung bằng chứng",IF(AND(OR(F48="Đạt",F48="Không áp dụng"),G48&lt;&gt;"",I48&lt;&gt;"",J48&lt;&gt;"",ISNUMBER(K48),K48&gt;0,L48&lt;&gt;""),"Đủ dữ liệu xác minh","Thiếu hồ sơ xác minh"))))</x:f>
        <x:v>Chưa xác minh</x:v>
      </x:c>
    </x:row>
    <x:row r="49" ht="64" customHeight="1">
      <x:c r="A49" s="10" t="str">
        <x:v>C4-CFG-04</x:v>
      </x:c>
      <x:c r="B49" s="10" t="str">
        <x:v>DNS/NTP/PKI tin cậy</x:v>
      </x:c>
      <x:c r="C49" s="10" t="str">
        <x:v>P1</x:v>
      </x:c>
      <x:c r="D49" s="10" t="str">
        <x:v>Chưa đánh giá</x:v>
      </x:c>
      <x:c r="E49" s="10" t="str">
        <x:v>Platform/NetOps</x:v>
      </x:c>
      <x:c r="F49" s="15" t="str">
        <x:v>Chưa xác minh</x:v>
      </x:c>
      <x:c r="G49" s="15"/>
      <x:c r="H49" s="16"/>
      <x:c r="I49" s="15"/>
      <x:c r="J49" s="15"/>
      <x:c r="K49" s="16"/>
      <x:c r="L49" s="15"/>
      <x:c r="M49" s="15"/>
      <x:c r="N49" s="10" t="str">
        <x:f>IF(F49="Không đạt","Cần khắc phục",IF(F49="Chưa xác minh","Chưa xác minh",IF(F49="Chưa đủ bằng chứng","Bổ sung bằng chứng",IF(AND(OR(F49="Đạt",F49="Không áp dụng"),G49&lt;&gt;"",I49&lt;&gt;"",J49&lt;&gt;"",ISNUMBER(K49),K49&gt;0,L49&lt;&gt;""),"Đủ dữ liệu xác minh","Thiếu hồ sơ xác minh"))))</x:f>
        <x:v>Chưa xác minh</x:v>
      </x:c>
    </x:row>
    <x:row r="50" ht="64" customHeight="1">
      <x:c r="A50" s="11" t="str">
        <x:v>C4-IAM-01</x:v>
      </x:c>
      <x:c r="B50" s="11" t="str">
        <x:v>Kho tài khoản tập trung</x:v>
      </x:c>
      <x:c r="C50" s="11" t="str">
        <x:v>P0</x:v>
      </x:c>
      <x:c r="D50" s="11" t="str">
        <x:v>Chưa đánh giá</x:v>
      </x:c>
      <x:c r="E50" s="11" t="str">
        <x:v>IAM</x:v>
      </x:c>
      <x:c r="F50" s="15" t="str">
        <x:v>Chưa xác minh</x:v>
      </x:c>
      <x:c r="G50" s="15"/>
      <x:c r="H50" s="16"/>
      <x:c r="I50" s="15"/>
      <x:c r="J50" s="15"/>
      <x:c r="K50" s="16"/>
      <x:c r="L50" s="15"/>
      <x:c r="M50" s="15"/>
      <x:c r="N50" s="11" t="str">
        <x:f>IF(F50="Không đạt","Cần khắc phục",IF(F50="Chưa xác minh","Chưa xác minh",IF(F50="Chưa đủ bằng chứng","Bổ sung bằng chứng",IF(AND(OR(F50="Đạt",F50="Không áp dụng"),G50&lt;&gt;"",I50&lt;&gt;"",J50&lt;&gt;"",ISNUMBER(K50),K50&gt;0,L50&lt;&gt;""),"Đủ dữ liệu xác minh","Thiếu hồ sơ xác minh"))))</x:f>
        <x:v>Chưa xác minh</x:v>
      </x:c>
    </x:row>
    <x:row r="51" ht="64" customHeight="1">
      <x:c r="A51" s="10" t="str">
        <x:v>C4-IAM-02</x:v>
      </x:c>
      <x:c r="B51" s="10" t="str">
        <x:v>MFA tài khoản quản trị</x:v>
      </x:c>
      <x:c r="C51" s="10" t="str">
        <x:v>P0</x:v>
      </x:c>
      <x:c r="D51" s="10" t="str">
        <x:v>Chưa đánh giá</x:v>
      </x:c>
      <x:c r="E51" s="10" t="str">
        <x:v>IAM/Security</x:v>
      </x:c>
      <x:c r="F51" s="15" t="str">
        <x:v>Chưa xác minh</x:v>
      </x:c>
      <x:c r="G51" s="15"/>
      <x:c r="H51" s="16"/>
      <x:c r="I51" s="15"/>
      <x:c r="J51" s="15"/>
      <x:c r="K51" s="16"/>
      <x:c r="L51" s="15"/>
      <x:c r="M51" s="15"/>
      <x:c r="N51" s="10" t="str">
        <x:f>IF(F51="Không đạt","Cần khắc phục",IF(F51="Chưa xác minh","Chưa xác minh",IF(F51="Chưa đủ bằng chứng","Bổ sung bằng chứng",IF(AND(OR(F51="Đạt",F51="Không áp dụng"),G51&lt;&gt;"",I51&lt;&gt;"",J51&lt;&gt;"",ISNUMBER(K51),K51&gt;0,L51&lt;&gt;""),"Đủ dữ liệu xác minh","Thiếu hồ sơ xác minh"))))</x:f>
        <x:v>Chưa xác minh</x:v>
      </x:c>
    </x:row>
    <x:row r="52" ht="64" customHeight="1">
      <x:c r="A52" s="11" t="str">
        <x:v>C4-IAM-03</x:v>
      </x:c>
      <x:c r="B52" s="11" t="str">
        <x:v>RBAC và least privilege</x:v>
      </x:c>
      <x:c r="C52" s="11" t="str">
        <x:v>P0</x:v>
      </x:c>
      <x:c r="D52" s="11" t="str">
        <x:v>Chưa đánh giá</x:v>
      </x:c>
      <x:c r="E52" s="11" t="str">
        <x:v>IAM/Platform</x:v>
      </x:c>
      <x:c r="F52" s="15" t="str">
        <x:v>Chưa xác minh</x:v>
      </x:c>
      <x:c r="G52" s="15"/>
      <x:c r="H52" s="16"/>
      <x:c r="I52" s="15"/>
      <x:c r="J52" s="15"/>
      <x:c r="K52" s="16"/>
      <x:c r="L52" s="15"/>
      <x:c r="M52" s="15"/>
      <x:c r="N52" s="11" t="str">
        <x:f>IF(F52="Không đạt","Cần khắc phục",IF(F52="Chưa xác minh","Chưa xác minh",IF(F52="Chưa đủ bằng chứng","Bổ sung bằng chứng",IF(AND(OR(F52="Đạt",F52="Không áp dụng"),G52&lt;&gt;"",I52&lt;&gt;"",J52&lt;&gt;"",ISNUMBER(K52),K52&gt;0,L52&lt;&gt;""),"Đủ dữ liệu xác minh","Thiếu hồ sơ xác minh"))))</x:f>
        <x:v>Chưa xác minh</x:v>
      </x:c>
    </x:row>
    <x:row r="53" ht="64" customHeight="1">
      <x:c r="A53" s="10" t="str">
        <x:v>C4-IAM-04</x:v>
      </x:c>
      <x:c r="B53" s="10" t="str">
        <x:v>Vòng đời tài khoản</x:v>
      </x:c>
      <x:c r="C53" s="10" t="str">
        <x:v>P0</x:v>
      </x:c>
      <x:c r="D53" s="10" t="str">
        <x:v>Chưa đánh giá</x:v>
      </x:c>
      <x:c r="E53" s="10" t="str">
        <x:v>IAM/HR</x:v>
      </x:c>
      <x:c r="F53" s="15" t="str">
        <x:v>Chưa xác minh</x:v>
      </x:c>
      <x:c r="G53" s="15"/>
      <x:c r="H53" s="16"/>
      <x:c r="I53" s="15"/>
      <x:c r="J53" s="15"/>
      <x:c r="K53" s="16"/>
      <x:c r="L53" s="15"/>
      <x:c r="M53" s="15"/>
      <x:c r="N53" s="10" t="str">
        <x:f>IF(F53="Không đạt","Cần khắc phục",IF(F53="Chưa xác minh","Chưa xác minh",IF(F53="Chưa đủ bằng chứng","Bổ sung bằng chứng",IF(AND(OR(F53="Đạt",F53="Không áp dụng"),G53&lt;&gt;"",I53&lt;&gt;"",J53&lt;&gt;"",ISNUMBER(K53),K53&gt;0,L53&lt;&gt;""),"Đủ dữ liệu xác minh","Thiếu hồ sơ xác minh"))))</x:f>
        <x:v>Chưa xác minh</x:v>
      </x:c>
    </x:row>
    <x:row r="54" ht="64" customHeight="1">
      <x:c r="A54" s="11" t="str">
        <x:v>C4-IAM-05</x:v>
      </x:c>
      <x:c r="B54" s="11" t="str">
        <x:v>PAM/JIT và ghi phiên</x:v>
      </x:c>
      <x:c r="C54" s="11" t="str">
        <x:v>P0</x:v>
      </x:c>
      <x:c r="D54" s="11" t="str">
        <x:v>Chưa đánh giá</x:v>
      </x:c>
      <x:c r="E54" s="11" t="str">
        <x:v>Security/IAM</x:v>
      </x:c>
      <x:c r="F54" s="15" t="str">
        <x:v>Chưa xác minh</x:v>
      </x:c>
      <x:c r="G54" s="15"/>
      <x:c r="H54" s="16"/>
      <x:c r="I54" s="15"/>
      <x:c r="J54" s="15"/>
      <x:c r="K54" s="16"/>
      <x:c r="L54" s="15"/>
      <x:c r="M54" s="15"/>
      <x:c r="N54" s="11" t="str">
        <x:f>IF(F54="Không đạt","Cần khắc phục",IF(F54="Chưa xác minh","Chưa xác minh",IF(F54="Chưa đủ bằng chứng","Bổ sung bằng chứng",IF(AND(OR(F54="Đạt",F54="Không áp dụng"),G54&lt;&gt;"",I54&lt;&gt;"",J54&lt;&gt;"",ISNUMBER(K54),K54&gt;0,L54&lt;&gt;""),"Đủ dữ liệu xác minh","Thiếu hồ sơ xác minh"))))</x:f>
        <x:v>Chưa xác minh</x:v>
      </x:c>
    </x:row>
    <x:row r="55" ht="64" customHeight="1">
      <x:c r="A55" s="10" t="str">
        <x:v>C4-IAM-06</x:v>
      </x:c>
      <x:c r="B55" s="10" t="str">
        <x:v>Quản lý bí mật</x:v>
      </x:c>
      <x:c r="C55" s="10" t="str">
        <x:v>P0</x:v>
      </x:c>
      <x:c r="D55" s="10" t="str">
        <x:v>Không đạt</x:v>
      </x:c>
      <x:c r="E55" s="10" t="str">
        <x:v>Security/DevSecOps</x:v>
      </x:c>
      <x:c r="F55" s="15" t="str">
        <x:v>Chưa xác minh</x:v>
      </x:c>
      <x:c r="G55" s="15"/>
      <x:c r="H55" s="16"/>
      <x:c r="I55" s="15"/>
      <x:c r="J55" s="15"/>
      <x:c r="K55" s="16"/>
      <x:c r="L55" s="15"/>
      <x:c r="M55" s="15"/>
      <x:c r="N55" s="10" t="str">
        <x:f>IF(F55="Không đạt","Cần khắc phục",IF(F55="Chưa xác minh","Chưa xác minh",IF(F55="Chưa đủ bằng chứng","Bổ sung bằng chứng",IF(AND(OR(F55="Đạt",F55="Không áp dụng"),G55&lt;&gt;"",I55&lt;&gt;"",J55&lt;&gt;"",ISNUMBER(K55),K55&gt;0,L55&lt;&gt;""),"Đủ dữ liệu xác minh","Thiếu hồ sơ xác minh"))))</x:f>
        <x:v>Chưa xác minh</x:v>
      </x:c>
    </x:row>
    <x:row r="56" ht="64" customHeight="1">
      <x:c r="A56" s="11" t="str">
        <x:v>C4-VUL-01</x:v>
      </x:c>
      <x:c r="B56" s="11" t="str">
        <x:v>Quy trình quản lý lỗ hổng</x:v>
      </x:c>
      <x:c r="C56" s="11" t="str">
        <x:v>P0</x:v>
      </x:c>
      <x:c r="D56" s="11" t="str">
        <x:v>Đang thực hiện</x:v>
      </x:c>
      <x:c r="E56" s="11" t="str">
        <x:v>SecOps/Owners</x:v>
      </x:c>
      <x:c r="F56" s="15" t="str">
        <x:v>Chưa xác minh</x:v>
      </x:c>
      <x:c r="G56" s="15"/>
      <x:c r="H56" s="16"/>
      <x:c r="I56" s="15"/>
      <x:c r="J56" s="15"/>
      <x:c r="K56" s="16"/>
      <x:c r="L56" s="15"/>
      <x:c r="M56" s="15"/>
      <x:c r="N56" s="11" t="str">
        <x:f>IF(F56="Không đạt","Cần khắc phục",IF(F56="Chưa xác minh","Chưa xác minh",IF(F56="Chưa đủ bằng chứng","Bổ sung bằng chứng",IF(AND(OR(F56="Đạt",F56="Không áp dụng"),G56&lt;&gt;"",I56&lt;&gt;"",J56&lt;&gt;"",ISNUMBER(K56),K56&gt;0,L56&lt;&gt;""),"Đủ dữ liệu xác minh","Thiếu hồ sơ xác minh"))))</x:f>
        <x:v>Chưa xác minh</x:v>
      </x:c>
    </x:row>
    <x:row r="57" ht="64" customHeight="1">
      <x:c r="A57" s="10" t="str">
        <x:v>C4-VUL-02</x:v>
      </x:c>
      <x:c r="B57" s="10" t="str">
        <x:v>Quy trình bản vá</x:v>
      </x:c>
      <x:c r="C57" s="10" t="str">
        <x:v>P0</x:v>
      </x:c>
      <x:c r="D57" s="10" t="str">
        <x:v>Chưa đánh giá</x:v>
      </x:c>
      <x:c r="E57" s="10" t="str">
        <x:v>Platform/NetOps</x:v>
      </x:c>
      <x:c r="F57" s="15" t="str">
        <x:v>Chưa xác minh</x:v>
      </x:c>
      <x:c r="G57" s="15"/>
      <x:c r="H57" s="16"/>
      <x:c r="I57" s="15"/>
      <x:c r="J57" s="15"/>
      <x:c r="K57" s="16"/>
      <x:c r="L57" s="15"/>
      <x:c r="M57" s="15"/>
      <x:c r="N57" s="10" t="str">
        <x:f>IF(F57="Không đạt","Cần khắc phục",IF(F57="Chưa xác minh","Chưa xác minh",IF(F57="Chưa đủ bằng chứng","Bổ sung bằng chứng",IF(AND(OR(F57="Đạt",F57="Không áp dụng"),G57&lt;&gt;"",I57&lt;&gt;"",J57&lt;&gt;"",ISNUMBER(K57),K57&gt;0,L57&lt;&gt;""),"Đủ dữ liệu xác minh","Thiếu hồ sơ xác minh"))))</x:f>
        <x:v>Chưa xác minh</x:v>
      </x:c>
    </x:row>
    <x:row r="58" ht="64" customHeight="1">
      <x:c r="A58" s="11" t="str">
        <x:v>C4-VUL-03</x:v>
      </x:c>
      <x:c r="B58" s="11" t="str">
        <x:v>Theo dõi cảnh báo và CVE</x:v>
      </x:c>
      <x:c r="C58" s="11" t="str">
        <x:v>P1</x:v>
      </x:c>
      <x:c r="D58" s="11" t="str">
        <x:v>Đang thực hiện</x:v>
      </x:c>
      <x:c r="E58" s="11" t="str">
        <x:v>SOC/SecOps</x:v>
      </x:c>
      <x:c r="F58" s="15" t="str">
        <x:v>Chưa xác minh</x:v>
      </x:c>
      <x:c r="G58" s="15"/>
      <x:c r="H58" s="16"/>
      <x:c r="I58" s="15"/>
      <x:c r="J58" s="15"/>
      <x:c r="K58" s="16"/>
      <x:c r="L58" s="15"/>
      <x:c r="M58" s="15"/>
      <x:c r="N58" s="11" t="str">
        <x:f>IF(F58="Không đạt","Cần khắc phục",IF(F58="Chưa xác minh","Chưa xác minh",IF(F58="Chưa đủ bằng chứng","Bổ sung bằng chứng",IF(AND(OR(F58="Đạt",F58="Không áp dụng"),G58&lt;&gt;"",I58&lt;&gt;"",J58&lt;&gt;"",ISNUMBER(K58),K58&gt;0,L58&lt;&gt;""),"Đủ dữ liệu xác minh","Thiếu hồ sơ xác minh"))))</x:f>
        <x:v>Chưa xác minh</x:v>
      </x:c>
    </x:row>
    <x:row r="59" ht="64" customHeight="1">
      <x:c r="A59" s="10" t="str">
        <x:v>C4-LOG-01</x:v>
      </x:c>
      <x:c r="B59" s="10" t="str">
        <x:v>Chính sách nhật ký</x:v>
      </x:c>
      <x:c r="C59" s="10" t="str">
        <x:v>P0</x:v>
      </x:c>
      <x:c r="D59" s="10" t="str">
        <x:v>Chưa đánh giá</x:v>
      </x:c>
      <x:c r="E59" s="10" t="str">
        <x:v>SOC/Platform</x:v>
      </x:c>
      <x:c r="F59" s="15" t="str">
        <x:v>Chưa xác minh</x:v>
      </x:c>
      <x:c r="G59" s="15"/>
      <x:c r="H59" s="16"/>
      <x:c r="I59" s="15"/>
      <x:c r="J59" s="15"/>
      <x:c r="K59" s="16"/>
      <x:c r="L59" s="15"/>
      <x:c r="M59" s="15"/>
      <x:c r="N59" s="10" t="str">
        <x:f>IF(F59="Không đạt","Cần khắc phục",IF(F59="Chưa xác minh","Chưa xác minh",IF(F59="Chưa đủ bằng chứng","Bổ sung bằng chứng",IF(AND(OR(F59="Đạt",F59="Không áp dụng"),G59&lt;&gt;"",I59&lt;&gt;"",J59&lt;&gt;"",ISNUMBER(K59),K59&gt;0,L59&lt;&gt;""),"Đủ dữ liệu xác minh","Thiếu hồ sơ xác minh"))))</x:f>
        <x:v>Chưa xác minh</x:v>
      </x:c>
    </x:row>
    <x:row r="60" ht="64" customHeight="1">
      <x:c r="A60" s="11" t="str">
        <x:v>C4-LOG-02</x:v>
      </x:c>
      <x:c r="B60" s="11" t="str">
        <x:v>Thu thập tập trung và SIEM</x:v>
      </x:c>
      <x:c r="C60" s="11" t="str">
        <x:v>P0</x:v>
      </x:c>
      <x:c r="D60" s="11" t="str">
        <x:v>Chưa đánh giá</x:v>
      </x:c>
      <x:c r="E60" s="11" t="str">
        <x:v>SOC/Platform</x:v>
      </x:c>
      <x:c r="F60" s="15" t="str">
        <x:v>Chưa xác minh</x:v>
      </x:c>
      <x:c r="G60" s="15"/>
      <x:c r="H60" s="16"/>
      <x:c r="I60" s="15"/>
      <x:c r="J60" s="15"/>
      <x:c r="K60" s="16"/>
      <x:c r="L60" s="15"/>
      <x:c r="M60" s="15"/>
      <x:c r="N60" s="11" t="str">
        <x:f>IF(F60="Không đạt","Cần khắc phục",IF(F60="Chưa xác minh","Chưa xác minh",IF(F60="Chưa đủ bằng chứng","Bổ sung bằng chứng",IF(AND(OR(F60="Đạt",F60="Không áp dụng"),G60&lt;&gt;"",I60&lt;&gt;"",J60&lt;&gt;"",ISNUMBER(K60),K60&gt;0,L60&lt;&gt;""),"Đủ dữ liệu xác minh","Thiếu hồ sơ xác minh"))))</x:f>
        <x:v>Chưa xác minh</x:v>
      </x:c>
    </x:row>
    <x:row r="61" ht="64" customHeight="1">
      <x:c r="A61" s="10" t="str">
        <x:v>C4-LOG-03</x:v>
      </x:c>
      <x:c r="B61" s="10" t="str">
        <x:v>Bảo vệ toàn vẹn log</x:v>
      </x:c>
      <x:c r="C61" s="10" t="str">
        <x:v>P0</x:v>
      </x:c>
      <x:c r="D61" s="10" t="str">
        <x:v>Chưa đánh giá</x:v>
      </x:c>
      <x:c r="E61" s="10" t="str">
        <x:v>SOC/Security</x:v>
      </x:c>
      <x:c r="F61" s="15" t="str">
        <x:v>Chưa xác minh</x:v>
      </x:c>
      <x:c r="G61" s="15"/>
      <x:c r="H61" s="16"/>
      <x:c r="I61" s="15"/>
      <x:c r="J61" s="15"/>
      <x:c r="K61" s="16"/>
      <x:c r="L61" s="15"/>
      <x:c r="M61" s="15"/>
      <x:c r="N61" s="10" t="str">
        <x:f>IF(F61="Không đạt","Cần khắc phục",IF(F61="Chưa xác minh","Chưa xác minh",IF(F61="Chưa đủ bằng chứng","Bổ sung bằng chứng",IF(AND(OR(F61="Đạt",F61="Không áp dụng"),G61&lt;&gt;"",I61&lt;&gt;"",J61&lt;&gt;"",ISNUMBER(K61),K61&gt;0,L61&lt;&gt;""),"Đủ dữ liệu xác minh","Thiếu hồ sơ xác minh"))))</x:f>
        <x:v>Chưa xác minh</x:v>
      </x:c>
    </x:row>
    <x:row r="62" ht="64" customHeight="1">
      <x:c r="A62" s="11" t="str">
        <x:v>C4-LOG-04</x:v>
      </x:c>
      <x:c r="B62" s="11" t="str">
        <x:v>Use case và cảnh báo</x:v>
      </x:c>
      <x:c r="C62" s="11" t="str">
        <x:v>P0</x:v>
      </x:c>
      <x:c r="D62" s="11" t="str">
        <x:v>Chưa đánh giá</x:v>
      </x:c>
      <x:c r="E62" s="11" t="str">
        <x:v>SOC</x:v>
      </x:c>
      <x:c r="F62" s="15" t="str">
        <x:v>Chưa xác minh</x:v>
      </x:c>
      <x:c r="G62" s="15"/>
      <x:c r="H62" s="16"/>
      <x:c r="I62" s="15"/>
      <x:c r="J62" s="15"/>
      <x:c r="K62" s="16"/>
      <x:c r="L62" s="15"/>
      <x:c r="M62" s="15"/>
      <x:c r="N62" s="11" t="str">
        <x:f>IF(F62="Không đạt","Cần khắc phục",IF(F62="Chưa xác minh","Chưa xác minh",IF(F62="Chưa đủ bằng chứng","Bổ sung bằng chứng",IF(AND(OR(F62="Đạt",F62="Không áp dụng"),G62&lt;&gt;"",I62&lt;&gt;"",J62&lt;&gt;"",ISNUMBER(K62),K62&gt;0,L62&lt;&gt;""),"Đủ dữ liệu xác minh","Thiếu hồ sơ xác minh"))))</x:f>
        <x:v>Chưa xác minh</x:v>
      </x:c>
    </x:row>
    <x:row r="63" ht="64" customHeight="1">
      <x:c r="A63" s="10" t="str">
        <x:v>C4-LOG-05</x:v>
      </x:c>
      <x:c r="B63" s="10" t="str">
        <x:v>NOC/SOC liên tục</x:v>
      </x:c>
      <x:c r="C63" s="10" t="str">
        <x:v>P0</x:v>
      </x:c>
      <x:c r="D63" s="10" t="str">
        <x:v>Chưa đánh giá</x:v>
      </x:c>
      <x:c r="E63" s="10" t="str">
        <x:v>SOC/NOC/SRE</x:v>
      </x:c>
      <x:c r="F63" s="15" t="str">
        <x:v>Chưa xác minh</x:v>
      </x:c>
      <x:c r="G63" s="15"/>
      <x:c r="H63" s="16"/>
      <x:c r="I63" s="15"/>
      <x:c r="J63" s="15"/>
      <x:c r="K63" s="16"/>
      <x:c r="L63" s="15"/>
      <x:c r="M63" s="15"/>
      <x:c r="N63" s="10" t="str">
        <x:f>IF(F63="Không đạt","Cần khắc phục",IF(F63="Chưa xác minh","Chưa xác minh",IF(F63="Chưa đủ bằng chứng","Bổ sung bằng chứng",IF(AND(OR(F63="Đạt",F63="Không áp dụng"),G63&lt;&gt;"",I63&lt;&gt;"",J63&lt;&gt;"",ISNUMBER(K63),K63&gt;0,L63&lt;&gt;""),"Đủ dữ liệu xác minh","Thiếu hồ sơ xác minh"))))</x:f>
        <x:v>Chưa xác minh</x:v>
      </x:c>
    </x:row>
    <x:row r="64" ht="64" customHeight="1">
      <x:c r="A64" s="11" t="str">
        <x:v>C4-MAL-01</x:v>
      </x:c>
      <x:c r="B64" s="11" t="str">
        <x:v>Phòng chống mã độc/EDR</x:v>
      </x:c>
      <x:c r="C64" s="11" t="str">
        <x:v>P1</x:v>
      </x:c>
      <x:c r="D64" s="11" t="str">
        <x:v>Chưa đánh giá</x:v>
      </x:c>
      <x:c r="E64" s="11" t="str">
        <x:v>SecOps</x:v>
      </x:c>
      <x:c r="F64" s="15" t="str">
        <x:v>Chưa xác minh</x:v>
      </x:c>
      <x:c r="G64" s="15"/>
      <x:c r="H64" s="16"/>
      <x:c r="I64" s="15"/>
      <x:c r="J64" s="15"/>
      <x:c r="K64" s="16"/>
      <x:c r="L64" s="15"/>
      <x:c r="M64" s="15"/>
      <x:c r="N64" s="11" t="str">
        <x:f>IF(F64="Không đạt","Cần khắc phục",IF(F64="Chưa xác minh","Chưa xác minh",IF(F64="Chưa đủ bằng chứng","Bổ sung bằng chứng",IF(AND(OR(F64="Đạt",F64="Không áp dụng"),G64&lt;&gt;"",I64&lt;&gt;"",J64&lt;&gt;"",ISNUMBER(K64),K64&gt;0,L64&lt;&gt;""),"Đủ dữ liệu xác minh","Thiếu hồ sơ xác minh"))))</x:f>
        <x:v>Chưa xác minh</x:v>
      </x:c>
    </x:row>
    <x:row r="65" ht="64" customHeight="1">
      <x:c r="A65" s="10" t="str">
        <x:v>C4-MAL-02</x:v>
      </x:c>
      <x:c r="B65" s="10" t="str">
        <x:v>Web/email/DNS filtering</x:v>
      </x:c>
      <x:c r="C65" s="10" t="str">
        <x:v>P2</x:v>
      </x:c>
      <x:c r="D65" s="10" t="str">
        <x:v>Chưa đánh giá</x:v>
      </x:c>
      <x:c r="E65" s="10" t="str">
        <x:v>SecOps/IT</x:v>
      </x:c>
      <x:c r="F65" s="15" t="str">
        <x:v>Chưa xác minh</x:v>
      </x:c>
      <x:c r="G65" s="15"/>
      <x:c r="H65" s="16"/>
      <x:c r="I65" s="15"/>
      <x:c r="J65" s="15"/>
      <x:c r="K65" s="16"/>
      <x:c r="L65" s="15"/>
      <x:c r="M65" s="15"/>
      <x:c r="N65" s="10" t="str">
        <x:f>IF(F65="Không đạt","Cần khắc phục",IF(F65="Chưa xác minh","Chưa xác minh",IF(F65="Chưa đủ bằng chứng","Bổ sung bằng chứng",IF(AND(OR(F65="Đạt",F65="Không áp dụng"),G65&lt;&gt;"",I65&lt;&gt;"",J65&lt;&gt;"",ISNUMBER(K65),K65&gt;0,L65&lt;&gt;""),"Đủ dữ liệu xác minh","Thiếu hồ sơ xác minh"))))</x:f>
        <x:v>Chưa xác minh</x:v>
      </x:c>
    </x:row>
    <x:row r="66" ht="64" customHeight="1">
      <x:c r="A66" s="11" t="str">
        <x:v>C4-BKP-01</x:v>
      </x:c>
      <x:c r="B66" s="11" t="str">
        <x:v>Chính sách backup theo RPO/RTO</x:v>
      </x:c>
      <x:c r="C66" s="11" t="str">
        <x:v>P0</x:v>
      </x:c>
      <x:c r="D66" s="11" t="str">
        <x:v>Chưa đánh giá</x:v>
      </x:c>
      <x:c r="E66" s="11" t="str">
        <x:v>SRE/Storage</x:v>
      </x:c>
      <x:c r="F66" s="15" t="str">
        <x:v>Chưa xác minh</x:v>
      </x:c>
      <x:c r="G66" s="15"/>
      <x:c r="H66" s="16"/>
      <x:c r="I66" s="15"/>
      <x:c r="J66" s="15"/>
      <x:c r="K66" s="16"/>
      <x:c r="L66" s="15"/>
      <x:c r="M66" s="15"/>
      <x:c r="N66" s="11" t="str">
        <x:f>IF(F66="Không đạt","Cần khắc phục",IF(F66="Chưa xác minh","Chưa xác minh",IF(F66="Chưa đủ bằng chứng","Bổ sung bằng chứng",IF(AND(OR(F66="Đạt",F66="Không áp dụng"),G66&lt;&gt;"",I66&lt;&gt;"",J66&lt;&gt;"",ISNUMBER(K66),K66&gt;0,L66&lt;&gt;""),"Đủ dữ liệu xác minh","Thiếu hồ sơ xác minh"))))</x:f>
        <x:v>Chưa xác minh</x:v>
      </x:c>
    </x:row>
    <x:row r="67" ht="64" customHeight="1">
      <x:c r="A67" s="10" t="str">
        <x:v>C4-BKP-02</x:v>
      </x:c>
      <x:c r="B67" s="10" t="str">
        <x:v>Backup tự động và giám sát</x:v>
      </x:c>
      <x:c r="C67" s="10" t="str">
        <x:v>P0</x:v>
      </x:c>
      <x:c r="D67" s="10" t="str">
        <x:v>Chưa đánh giá</x:v>
      </x:c>
      <x:c r="E67" s="10" t="str">
        <x:v>SRE/Storage</x:v>
      </x:c>
      <x:c r="F67" s="15" t="str">
        <x:v>Chưa xác minh</x:v>
      </x:c>
      <x:c r="G67" s="15"/>
      <x:c r="H67" s="16"/>
      <x:c r="I67" s="15"/>
      <x:c r="J67" s="15"/>
      <x:c r="K67" s="16"/>
      <x:c r="L67" s="15"/>
      <x:c r="M67" s="15"/>
      <x:c r="N67" s="10" t="str">
        <x:f>IF(F67="Không đạt","Cần khắc phục",IF(F67="Chưa xác minh","Chưa xác minh",IF(F67="Chưa đủ bằng chứng","Bổ sung bằng chứng",IF(AND(OR(F67="Đạt",F67="Không áp dụng"),G67&lt;&gt;"",I67&lt;&gt;"",J67&lt;&gt;"",ISNUMBER(K67),K67&gt;0,L67&lt;&gt;""),"Đủ dữ liệu xác minh","Thiếu hồ sơ xác minh"))))</x:f>
        <x:v>Chưa xác minh</x:v>
      </x:c>
    </x:row>
    <x:row r="68" ht="64" customHeight="1">
      <x:c r="A68" s="11" t="str">
        <x:v>C4-BKP-03</x:v>
      </x:c>
      <x:c r="B68" s="11" t="str">
        <x:v>Bảo vệ và tách biệt backup</x:v>
      </x:c>
      <x:c r="C68" s="11" t="str">
        <x:v>P0</x:v>
      </x:c>
      <x:c r="D68" s="11" t="str">
        <x:v>Chưa đánh giá</x:v>
      </x:c>
      <x:c r="E68" s="11" t="str">
        <x:v>Security/Storage</x:v>
      </x:c>
      <x:c r="F68" s="15" t="str">
        <x:v>Chưa xác minh</x:v>
      </x:c>
      <x:c r="G68" s="15"/>
      <x:c r="H68" s="16"/>
      <x:c r="I68" s="15"/>
      <x:c r="J68" s="15"/>
      <x:c r="K68" s="16"/>
      <x:c r="L68" s="15"/>
      <x:c r="M68" s="15"/>
      <x:c r="N68" s="11" t="str">
        <x:f>IF(F68="Không đạt","Cần khắc phục",IF(F68="Chưa xác minh","Chưa xác minh",IF(F68="Chưa đủ bằng chứng","Bổ sung bằng chứng",IF(AND(OR(F68="Đạt",F68="Không áp dụng"),G68&lt;&gt;"",I68&lt;&gt;"",J68&lt;&gt;"",ISNUMBER(K68),K68&gt;0,L68&lt;&gt;""),"Đủ dữ liệu xác minh","Thiếu hồ sơ xác minh"))))</x:f>
        <x:v>Chưa xác minh</x:v>
      </x:c>
    </x:row>
    <x:row r="69" ht="64" customHeight="1">
      <x:c r="A69" s="10" t="str">
        <x:v>C4-BKP-04</x:v>
      </x:c>
      <x:c r="B69" s="10" t="str">
        <x:v>Kiểm tra khôi phục</x:v>
      </x:c>
      <x:c r="C69" s="10" t="str">
        <x:v>P0</x:v>
      </x:c>
      <x:c r="D69" s="10" t="str">
        <x:v>Chưa đánh giá</x:v>
      </x:c>
      <x:c r="E69" s="10" t="str">
        <x:v>SRE/BCM</x:v>
      </x:c>
      <x:c r="F69" s="15" t="str">
        <x:v>Chưa xác minh</x:v>
      </x:c>
      <x:c r="G69" s="15"/>
      <x:c r="H69" s="16"/>
      <x:c r="I69" s="15"/>
      <x:c r="J69" s="15"/>
      <x:c r="K69" s="16"/>
      <x:c r="L69" s="15"/>
      <x:c r="M69" s="15"/>
      <x:c r="N69" s="10" t="str">
        <x:f>IF(F69="Không đạt","Cần khắc phục",IF(F69="Chưa xác minh","Chưa xác minh",IF(F69="Chưa đủ bằng chứng","Bổ sung bằng chứng",IF(AND(OR(F69="Đạt",F69="Không áp dụng"),G69&lt;&gt;"",I69&lt;&gt;"",J69&lt;&gt;"",ISNUMBER(K69),K69&gt;0,L69&lt;&gt;""),"Đủ dữ liệu xác minh","Thiếu hồ sơ xác minh"))))</x:f>
        <x:v>Chưa xác minh</x:v>
      </x:c>
    </x:row>
    <x:row r="70" ht="64" customHeight="1">
      <x:c r="A70" s="11" t="str">
        <x:v>C4-BKP-05</x:v>
      </x:c>
      <x:c r="B70" s="11" t="str">
        <x:v>Backup bất biến</x:v>
      </x:c>
      <x:c r="C70" s="11" t="str">
        <x:v>P0</x:v>
      </x:c>
      <x:c r="D70" s="11" t="str">
        <x:v>Chưa đánh giá</x:v>
      </x:c>
      <x:c r="E70" s="11" t="str">
        <x:v>Storage/Security</x:v>
      </x:c>
      <x:c r="F70" s="15" t="str">
        <x:v>Chưa xác minh</x:v>
      </x:c>
      <x:c r="G70" s="15"/>
      <x:c r="H70" s="16"/>
      <x:c r="I70" s="15"/>
      <x:c r="J70" s="15"/>
      <x:c r="K70" s="16"/>
      <x:c r="L70" s="15"/>
      <x:c r="M70" s="15"/>
      <x:c r="N70" s="11" t="str">
        <x:f>IF(F70="Không đạt","Cần khắc phục",IF(F70="Chưa xác minh","Chưa xác minh",IF(F70="Chưa đủ bằng chứng","Bổ sung bằng chứng",IF(AND(OR(F70="Đạt",F70="Không áp dụng"),G70&lt;&gt;"",I70&lt;&gt;"",J70&lt;&gt;"",ISNUMBER(K70),K70&gt;0,L70&lt;&gt;""),"Đủ dữ liệu xác minh","Thiếu hồ sơ xác minh"))))</x:f>
        <x:v>Chưa xác minh</x:v>
      </x:c>
    </x:row>
    <x:row r="71" ht="64" customHeight="1">
      <x:c r="A71" s="10" t="str">
        <x:v>C4-NET-01</x:v>
      </x:c>
      <x:c r="B71" s="10" t="str">
        <x:v>Sơ đồ mạng và trust zone</x:v>
      </x:c>
      <x:c r="C71" s="10" t="str">
        <x:v>P0</x:v>
      </x:c>
      <x:c r="D71" s="10" t="str">
        <x:v>Đang thực hiện</x:v>
      </x:c>
      <x:c r="E71" s="10" t="str">
        <x:v>NetOps/Architecture</x:v>
      </x:c>
      <x:c r="F71" s="15" t="str">
        <x:v>Chưa xác minh</x:v>
      </x:c>
      <x:c r="G71" s="15"/>
      <x:c r="H71" s="16"/>
      <x:c r="I71" s="15"/>
      <x:c r="J71" s="15"/>
      <x:c r="K71" s="16"/>
      <x:c r="L71" s="15"/>
      <x:c r="M71" s="15"/>
      <x:c r="N71" s="10" t="str">
        <x:f>IF(F71="Không đạt","Cần khắc phục",IF(F71="Chưa xác minh","Chưa xác minh",IF(F71="Chưa đủ bằng chứng","Bổ sung bằng chứng",IF(AND(OR(F71="Đạt",F71="Không áp dụng"),G71&lt;&gt;"",I71&lt;&gt;"",J71&lt;&gt;"",ISNUMBER(K71),K71&gt;0,L71&lt;&gt;""),"Đủ dữ liệu xác minh","Thiếu hồ sơ xác minh"))))</x:f>
        <x:v>Chưa xác minh</x:v>
      </x:c>
    </x:row>
    <x:row r="72" ht="64" customHeight="1">
      <x:c r="A72" s="11" t="str">
        <x:v>C4-NET-02</x:v>
      </x:c>
      <x:c r="B72" s="11" t="str">
        <x:v>Phân vùng và deny-by-default</x:v>
      </x:c>
      <x:c r="C72" s="11" t="str">
        <x:v>P0</x:v>
      </x:c>
      <x:c r="D72" s="11" t="str">
        <x:v>Đang thực hiện</x:v>
      </x:c>
      <x:c r="E72" s="11" t="str">
        <x:v>NetOps/Security</x:v>
      </x:c>
      <x:c r="F72" s="15" t="str">
        <x:v>Chưa xác minh</x:v>
      </x:c>
      <x:c r="G72" s="15"/>
      <x:c r="H72" s="16"/>
      <x:c r="I72" s="15"/>
      <x:c r="J72" s="15"/>
      <x:c r="K72" s="16"/>
      <x:c r="L72" s="15"/>
      <x:c r="M72" s="15"/>
      <x:c r="N72" s="11" t="str">
        <x:f>IF(F72="Không đạt","Cần khắc phục",IF(F72="Chưa xác minh","Chưa xác minh",IF(F72="Chưa đủ bằng chứng","Bổ sung bằng chứng",IF(AND(OR(F72="Đạt",F72="Không áp dụng"),G72&lt;&gt;"",I72&lt;&gt;"",J72&lt;&gt;"",ISNUMBER(K72),K72&gt;0,L72&lt;&gt;""),"Đủ dữ liệu xác minh","Thiếu hồ sơ xác minh"))))</x:f>
        <x:v>Chưa xác minh</x:v>
      </x:c>
    </x:row>
    <x:row r="73" ht="64" customHeight="1">
      <x:c r="A73" s="10" t="str">
        <x:v>C4-NET-03</x:v>
      </x:c>
      <x:c r="B73" s="10" t="str">
        <x:v>Truy cập quản trị từ xa</x:v>
      </x:c>
      <x:c r="C73" s="10" t="str">
        <x:v>P0</x:v>
      </x:c>
      <x:c r="D73" s="10" t="str">
        <x:v>Chưa đánh giá</x:v>
      </x:c>
      <x:c r="E73" s="10" t="str">
        <x:v>Security/NetOps</x:v>
      </x:c>
      <x:c r="F73" s="15" t="str">
        <x:v>Chưa xác minh</x:v>
      </x:c>
      <x:c r="G73" s="15"/>
      <x:c r="H73" s="16"/>
      <x:c r="I73" s="15"/>
      <x:c r="J73" s="15"/>
      <x:c r="K73" s="16"/>
      <x:c r="L73" s="15"/>
      <x:c r="M73" s="15"/>
      <x:c r="N73" s="10" t="str">
        <x:f>IF(F73="Không đạt","Cần khắc phục",IF(F73="Chưa xác minh","Chưa xác minh",IF(F73="Chưa đủ bằng chứng","Bổ sung bằng chứng",IF(AND(OR(F73="Đạt",F73="Không áp dụng"),G73&lt;&gt;"",I73&lt;&gt;"",J73&lt;&gt;"",ISNUMBER(K73),K73&gt;0,L73&lt;&gt;""),"Đủ dữ liệu xác minh","Thiếu hồ sơ xác minh"))))</x:f>
        <x:v>Chưa xác minh</x:v>
      </x:c>
    </x:row>
    <x:row r="74" ht="64" customHeight="1">
      <x:c r="A74" s="11" t="str">
        <x:v>C4-NET-04</x:v>
      </x:c>
      <x:c r="B74" s="11" t="str">
        <x:v>Giao thức quản trị an toàn</x:v>
      </x:c>
      <x:c r="C74" s="11" t="str">
        <x:v>P1</x:v>
      </x:c>
      <x:c r="D74" s="11" t="str">
        <x:v>Chưa đánh giá</x:v>
      </x:c>
      <x:c r="E74" s="11" t="str">
        <x:v>NetOps/SecOps</x:v>
      </x:c>
      <x:c r="F74" s="15" t="str">
        <x:v>Chưa xác minh</x:v>
      </x:c>
      <x:c r="G74" s="15"/>
      <x:c r="H74" s="16"/>
      <x:c r="I74" s="15"/>
      <x:c r="J74" s="15"/>
      <x:c r="K74" s="16"/>
      <x:c r="L74" s="15"/>
      <x:c r="M74" s="15"/>
      <x:c r="N74" s="11" t="str">
        <x:f>IF(F74="Không đạt","Cần khắc phục",IF(F74="Chưa xác minh","Chưa xác minh",IF(F74="Chưa đủ bằng chứng","Bổ sung bằng chứng",IF(AND(OR(F74="Đạt",F74="Không áp dụng"),G74&lt;&gt;"",I74&lt;&gt;"",J74&lt;&gt;"",ISNUMBER(K74),K74&gt;0,L74&lt;&gt;""),"Đủ dữ liệu xác minh","Thiếu hồ sơ xác minh"))))</x:f>
        <x:v>Chưa xác minh</x:v>
      </x:c>
    </x:row>
    <x:row r="75" ht="64" customHeight="1">
      <x:c r="A75" s="10" t="str">
        <x:v>C4-NET-05</x:v>
      </x:c>
      <x:c r="B75" s="10" t="str">
        <x:v>Tài nguyên quản trị riêng</x:v>
      </x:c>
      <x:c r="C75" s="10" t="str">
        <x:v>P0</x:v>
      </x:c>
      <x:c r="D75" s="10" t="str">
        <x:v>Chưa đánh giá</x:v>
      </x:c>
      <x:c r="E75" s="10" t="str">
        <x:v>Architecture/NetOps</x:v>
      </x:c>
      <x:c r="F75" s="15" t="str">
        <x:v>Chưa xác minh</x:v>
      </x:c>
      <x:c r="G75" s="15"/>
      <x:c r="H75" s="16"/>
      <x:c r="I75" s="15"/>
      <x:c r="J75" s="15"/>
      <x:c r="K75" s="16"/>
      <x:c r="L75" s="15"/>
      <x:c r="M75" s="15"/>
      <x:c r="N75" s="10" t="str">
        <x:f>IF(F75="Không đạt","Cần khắc phục",IF(F75="Chưa xác minh","Chưa xác minh",IF(F75="Chưa đủ bằng chứng","Bổ sung bằng chứng",IF(AND(OR(F75="Đạt",F75="Không áp dụng"),G75&lt;&gt;"",I75&lt;&gt;"",J75&lt;&gt;"",ISNUMBER(K75),K75&gt;0,L75&lt;&gt;""),"Đủ dữ liệu xác minh","Thiếu hồ sơ xác minh"))))</x:f>
        <x:v>Chưa xác minh</x:v>
      </x:c>
    </x:row>
    <x:row r="76" ht="64" customHeight="1">
      <x:c r="A76" s="11" t="str">
        <x:v>C4-NET-06</x:v>
      </x:c>
      <x:c r="B76" s="11" t="str">
        <x:v>DDoS/WAF/API protection</x:v>
      </x:c>
      <x:c r="C76" s="11" t="str">
        <x:v>P0</x:v>
      </x:c>
      <x:c r="D76" s="11" t="str">
        <x:v>Chưa đánh giá</x:v>
      </x:c>
      <x:c r="E76" s="11" t="str">
        <x:v>NetOps/SOC</x:v>
      </x:c>
      <x:c r="F76" s="15" t="str">
        <x:v>Chưa xác minh</x:v>
      </x:c>
      <x:c r="G76" s="15"/>
      <x:c r="H76" s="16"/>
      <x:c r="I76" s="15"/>
      <x:c r="J76" s="15"/>
      <x:c r="K76" s="16"/>
      <x:c r="L76" s="15"/>
      <x:c r="M76" s="15"/>
      <x:c r="N76" s="11" t="str">
        <x:f>IF(F76="Không đạt","Cần khắc phục",IF(F76="Chưa xác minh","Chưa xác minh",IF(F76="Chưa đủ bằng chứng","Bổ sung bằng chứng",IF(AND(OR(F76="Đạt",F76="Không áp dụng"),G76&lt;&gt;"",I76&lt;&gt;"",J76&lt;&gt;"",ISNUMBER(K76),K76&gt;0,L76&lt;&gt;""),"Đủ dữ liệu xác minh","Thiếu hồ sơ xác minh"))))</x:f>
        <x:v>Chưa xác minh</x:v>
      </x:c>
    </x:row>
    <x:row r="77" ht="64" customHeight="1">
      <x:c r="A77" s="10" t="str">
        <x:v>C4-NET-07</x:v>
      </x:c>
      <x:c r="B77" s="10" t="str">
        <x:v>Dự phòng mạng biên</x:v>
      </x:c>
      <x:c r="C77" s="10" t="str">
        <x:v>P0</x:v>
      </x:c>
      <x:c r="D77" s="10" t="str">
        <x:v>Không đạt</x:v>
      </x:c>
      <x:c r="E77" s="10" t="str">
        <x:v>NetOps/SRE</x:v>
      </x:c>
      <x:c r="F77" s="15" t="str">
        <x:v>Chưa xác minh</x:v>
      </x:c>
      <x:c r="G77" s="15"/>
      <x:c r="H77" s="16"/>
      <x:c r="I77" s="15"/>
      <x:c r="J77" s="15"/>
      <x:c r="K77" s="16"/>
      <x:c r="L77" s="15"/>
      <x:c r="M77" s="15"/>
      <x:c r="N77" s="10" t="str">
        <x:f>IF(F77="Không đạt","Cần khắc phục",IF(F77="Chưa xác minh","Chưa xác minh",IF(F77="Chưa đủ bằng chứng","Bổ sung bằng chứng",IF(AND(OR(F77="Đạt",F77="Không áp dụng"),G77&lt;&gt;"",I77&lt;&gt;"",J77&lt;&gt;"",ISNUMBER(K77),K77&gt;0,L77&lt;&gt;""),"Đủ dữ liệu xác minh","Thiếu hồ sơ xác minh"))))</x:f>
        <x:v>Chưa xác minh</x:v>
      </x:c>
    </x:row>
    <x:row r="78" ht="64" customHeight="1">
      <x:c r="A78" s="11" t="str">
        <x:v>C4-NET-08</x:v>
      </x:c>
      <x:c r="B78" s="11" t="str">
        <x:v>Ánh xạ NIC và băng thông</x:v>
      </x:c>
      <x:c r="C78" s="11" t="str">
        <x:v>P0</x:v>
      </x:c>
      <x:c r="D78" s="11" t="str">
        <x:v>Đang thực hiện</x:v>
      </x:c>
      <x:c r="E78" s="11" t="str">
        <x:v>NetOps/Platform</x:v>
      </x:c>
      <x:c r="F78" s="15" t="str">
        <x:v>Chưa xác minh</x:v>
      </x:c>
      <x:c r="G78" s="15"/>
      <x:c r="H78" s="16"/>
      <x:c r="I78" s="15"/>
      <x:c r="J78" s="15"/>
      <x:c r="K78" s="16"/>
      <x:c r="L78" s="15"/>
      <x:c r="M78" s="15"/>
      <x:c r="N78" s="11" t="str">
        <x:f>IF(F78="Không đạt","Cần khắc phục",IF(F78="Chưa xác minh","Chưa xác minh",IF(F78="Chưa đủ bằng chứng","Bổ sung bằng chứng",IF(AND(OR(F78="Đạt",F78="Không áp dụng"),G78&lt;&gt;"",I78&lt;&gt;"",J78&lt;&gt;"",ISNUMBER(K78),K78&gt;0,L78&lt;&gt;""),"Đủ dữ liệu xác minh","Thiếu hồ sơ xác minh"))))</x:f>
        <x:v>Chưa xác minh</x:v>
      </x:c>
    </x:row>
    <x:row r="79" ht="64" customHeight="1">
      <x:c r="A79" s="10" t="str">
        <x:v>C4-MON-01</x:v>
      </x:c>
      <x:c r="B79" s="10" t="str">
        <x:v>Firewall/IDS/IPS/NDR</x:v>
      </x:c>
      <x:c r="C79" s="10" t="str">
        <x:v>P0</x:v>
      </x:c>
      <x:c r="D79" s="10" t="str">
        <x:v>Chưa đánh giá</x:v>
      </x:c>
      <x:c r="E79" s="10" t="str">
        <x:v>SOC/NetOps</x:v>
      </x:c>
      <x:c r="F79" s="15" t="str">
        <x:v>Chưa xác minh</x:v>
      </x:c>
      <x:c r="G79" s="15"/>
      <x:c r="H79" s="16"/>
      <x:c r="I79" s="15"/>
      <x:c r="J79" s="15"/>
      <x:c r="K79" s="16"/>
      <x:c r="L79" s="15"/>
      <x:c r="M79" s="15"/>
      <x:c r="N79" s="10" t="str">
        <x:f>IF(F79="Không đạt","Cần khắc phục",IF(F79="Chưa xác minh","Chưa xác minh",IF(F79="Chưa đủ bằng chứng","Bổ sung bằng chứng",IF(AND(OR(F79="Đạt",F79="Không áp dụng"),G79&lt;&gt;"",I79&lt;&gt;"",J79&lt;&gt;"",ISNUMBER(K79),K79&gt;0,L79&lt;&gt;""),"Đủ dữ liệu xác minh","Thiếu hồ sơ xác minh"))))</x:f>
        <x:v>Chưa xác minh</x:v>
      </x:c>
    </x:row>
    <x:row r="80" ht="64" customHeight="1">
      <x:c r="A80" s="11" t="str">
        <x:v>C4-MON-02</x:v>
      </x:c>
      <x:c r="B80" s="11" t="str">
        <x:v>Telemetry mạng</x:v>
      </x:c>
      <x:c r="C80" s="11" t="str">
        <x:v>P1</x:v>
      </x:c>
      <x:c r="D80" s="11" t="str">
        <x:v>Chưa đánh giá</x:v>
      </x:c>
      <x:c r="E80" s="11" t="str">
        <x:v>SOC/NetOps</x:v>
      </x:c>
      <x:c r="F80" s="15" t="str">
        <x:v>Chưa xác minh</x:v>
      </x:c>
      <x:c r="G80" s="15"/>
      <x:c r="H80" s="16"/>
      <x:c r="I80" s="15"/>
      <x:c r="J80" s="15"/>
      <x:c r="K80" s="16"/>
      <x:c r="L80" s="15"/>
      <x:c r="M80" s="15"/>
      <x:c r="N80" s="11" t="str">
        <x:f>IF(F80="Không đạt","Cần khắc phục",IF(F80="Chưa xác minh","Chưa xác minh",IF(F80="Chưa đủ bằng chứng","Bổ sung bằng chứng",IF(AND(OR(F80="Đạt",F80="Không áp dụng"),G80&lt;&gt;"",I80&lt;&gt;"",J80&lt;&gt;"",ISNUMBER(K80),K80&gt;0,L80&lt;&gt;""),"Đủ dữ liệu xác minh","Thiếu hồ sơ xác minh"))))</x:f>
        <x:v>Chưa xác minh</x:v>
      </x:c>
    </x:row>
    <x:row r="81" ht="64" customHeight="1">
      <x:c r="A81" s="10" t="str">
        <x:v>C4-MON-03</x:v>
      </x:c>
      <x:c r="B81" s="10" t="str">
        <x:v>Giám sát khả dụng và capacity</x:v>
      </x:c>
      <x:c r="C81" s="10" t="str">
        <x:v>P0</x:v>
      </x:c>
      <x:c r="D81" s="10" t="str">
        <x:v>Chưa đánh giá</x:v>
      </x:c>
      <x:c r="E81" s="10" t="str">
        <x:v>NOC/SRE/DC Ops</x:v>
      </x:c>
      <x:c r="F81" s="15" t="str">
        <x:v>Chưa xác minh</x:v>
      </x:c>
      <x:c r="G81" s="15"/>
      <x:c r="H81" s="16"/>
      <x:c r="I81" s="15"/>
      <x:c r="J81" s="15"/>
      <x:c r="K81" s="16"/>
      <x:c r="L81" s="15"/>
      <x:c r="M81" s="15"/>
      <x:c r="N81" s="10" t="str">
        <x:f>IF(F81="Không đạt","Cần khắc phục",IF(F81="Chưa xác minh","Chưa xác minh",IF(F81="Chưa đủ bằng chứng","Bổ sung bằng chứng",IF(AND(OR(F81="Đạt",F81="Không áp dụng"),G81&lt;&gt;"",I81&lt;&gt;"",J81&lt;&gt;"",ISNUMBER(K81),K81&gt;0,L81&lt;&gt;""),"Đủ dữ liệu xác minh","Thiếu hồ sơ xác minh"))))</x:f>
        <x:v>Chưa xác minh</x:v>
      </x:c>
    </x:row>
    <x:row r="82" ht="64" customHeight="1">
      <x:c r="A82" s="11" t="str">
        <x:v>C4-PEO-01</x:v>
      </x:c>
      <x:c r="B82" s="11" t="str">
        <x:v>Bộ phận chuyên trách</x:v>
      </x:c>
      <x:c r="C82" s="11" t="str">
        <x:v>P0</x:v>
      </x:c>
      <x:c r="D82" s="11" t="str">
        <x:v>Chưa đánh giá</x:v>
      </x:c>
      <x:c r="E82" s="11" t="str">
        <x:v>Ban điều hành/CISO</x:v>
      </x:c>
      <x:c r="F82" s="15" t="str">
        <x:v>Chưa xác minh</x:v>
      </x:c>
      <x:c r="G82" s="15"/>
      <x:c r="H82" s="16"/>
      <x:c r="I82" s="15"/>
      <x:c r="J82" s="15"/>
      <x:c r="K82" s="16"/>
      <x:c r="L82" s="15"/>
      <x:c r="M82" s="15"/>
      <x:c r="N82" s="11" t="str">
        <x:f>IF(F82="Không đạt","Cần khắc phục",IF(F82="Chưa xác minh","Chưa xác minh",IF(F82="Chưa đủ bằng chứng","Bổ sung bằng chứng",IF(AND(OR(F82="Đạt",F82="Không áp dụng"),G82&lt;&gt;"",I82&lt;&gt;"",J82&lt;&gt;"",ISNUMBER(K82),K82&gt;0,L82&lt;&gt;""),"Đủ dữ liệu xác minh","Thiếu hồ sơ xác minh"))))</x:f>
        <x:v>Chưa xác minh</x:v>
      </x:c>
    </x:row>
    <x:row r="83" ht="64" customHeight="1">
      <x:c r="A83" s="10" t="str">
        <x:v>C4-PEO-02</x:v>
      </x:c>
      <x:c r="B83" s="10" t="str">
        <x:v>Đào tạo theo vai trò</x:v>
      </x:c>
      <x:c r="C83" s="10" t="str">
        <x:v>P1</x:v>
      </x:c>
      <x:c r="D83" s="10" t="str">
        <x:v>Chưa đánh giá</x:v>
      </x:c>
      <x:c r="E83" s="10" t="str">
        <x:v>HR/CISO</x:v>
      </x:c>
      <x:c r="F83" s="15" t="str">
        <x:v>Chưa xác minh</x:v>
      </x:c>
      <x:c r="G83" s="15"/>
      <x:c r="H83" s="16"/>
      <x:c r="I83" s="15"/>
      <x:c r="J83" s="15"/>
      <x:c r="K83" s="16"/>
      <x:c r="L83" s="15"/>
      <x:c r="M83" s="15"/>
      <x:c r="N83" s="10" t="str">
        <x:f>IF(F83="Không đạt","Cần khắc phục",IF(F83="Chưa xác minh","Chưa xác minh",IF(F83="Chưa đủ bằng chứng","Bổ sung bằng chứng",IF(AND(OR(F83="Đạt",F83="Không áp dụng"),G83&lt;&gt;"",I83&lt;&gt;"",J83&lt;&gt;"",ISNUMBER(K83),K83&gt;0,L83&lt;&gt;""),"Đủ dữ liệu xác minh","Thiếu hồ sơ xác minh"))))</x:f>
        <x:v>Chưa xác minh</x:v>
      </x:c>
    </x:row>
    <x:row r="84" ht="64" customHeight="1">
      <x:c r="A84" s="11" t="str">
        <x:v>C4-PEO-03</x:v>
      </x:c>
      <x:c r="B84" s="11" t="str">
        <x:v>Kiểm kê và phân loại nhà cung cấp</x:v>
      </x:c>
      <x:c r="C84" s="11" t="str">
        <x:v>P1</x:v>
      </x:c>
      <x:c r="D84" s="11" t="str">
        <x:v>Chưa đánh giá</x:v>
      </x:c>
      <x:c r="E84" s="11" t="str">
        <x:v>Procurement/GRC</x:v>
      </x:c>
      <x:c r="F84" s="15" t="str">
        <x:v>Chưa xác minh</x:v>
      </x:c>
      <x:c r="G84" s="15"/>
      <x:c r="H84" s="16"/>
      <x:c r="I84" s="15"/>
      <x:c r="J84" s="15"/>
      <x:c r="K84" s="16"/>
      <x:c r="L84" s="15"/>
      <x:c r="M84" s="15"/>
      <x:c r="N84" s="11" t="str">
        <x:f>IF(F84="Không đạt","Cần khắc phục",IF(F84="Chưa xác minh","Chưa xác minh",IF(F84="Chưa đủ bằng chứng","Bổ sung bằng chứng",IF(AND(OR(F84="Đạt",F84="Không áp dụng"),G84&lt;&gt;"",I84&lt;&gt;"",J84&lt;&gt;"",ISNUMBER(K84),K84&gt;0,L84&lt;&gt;""),"Đủ dữ liệu xác minh","Thiếu hồ sơ xác minh"))))</x:f>
        <x:v>Chưa xác minh</x:v>
      </x:c>
    </x:row>
    <x:row r="85" ht="64" customHeight="1">
      <x:c r="A85" s="10" t="str">
        <x:v>C4-PEO-04</x:v>
      </x:c>
      <x:c r="B85" s="10" t="str">
        <x:v>Điều khoản bảo mật nhà cung cấp</x:v>
      </x:c>
      <x:c r="C85" s="10" t="str">
        <x:v>P0</x:v>
      </x:c>
      <x:c r="D85" s="10" t="str">
        <x:v>Chưa đánh giá</x:v>
      </x:c>
      <x:c r="E85" s="10" t="str">
        <x:v>Legal/Procurement</x:v>
      </x:c>
      <x:c r="F85" s="15" t="str">
        <x:v>Chưa xác minh</x:v>
      </x:c>
      <x:c r="G85" s="15"/>
      <x:c r="H85" s="16"/>
      <x:c r="I85" s="15"/>
      <x:c r="J85" s="15"/>
      <x:c r="K85" s="16"/>
      <x:c r="L85" s="15"/>
      <x:c r="M85" s="15"/>
      <x:c r="N85" s="10" t="str">
        <x:f>IF(F85="Không đạt","Cần khắc phục",IF(F85="Chưa xác minh","Chưa xác minh",IF(F85="Chưa đủ bằng chứng","Bổ sung bằng chứng",IF(AND(OR(F85="Đạt",F85="Không áp dụng"),G85&lt;&gt;"",I85&lt;&gt;"",J85&lt;&gt;"",ISNUMBER(K85),K85&gt;0,L85&lt;&gt;""),"Đủ dữ liệu xác minh","Thiếu hồ sơ xác minh"))))</x:f>
        <x:v>Chưa xác minh</x:v>
      </x:c>
    </x:row>
    <x:row r="86" ht="64" customHeight="1">
      <x:c r="A86" s="11" t="str">
        <x:v>C4-PEO-05</x:v>
      </x:c>
      <x:c r="B86" s="11" t="str">
        <x:v>Giám sát và kết thúc hợp đồng</x:v>
      </x:c>
      <x:c r="C86" s="11" t="str">
        <x:v>P1</x:v>
      </x:c>
      <x:c r="D86" s="11" t="str">
        <x:v>Chưa đánh giá</x:v>
      </x:c>
      <x:c r="E86" s="11" t="str">
        <x:v>GRC/Procurement</x:v>
      </x:c>
      <x:c r="F86" s="15" t="str">
        <x:v>Chưa xác minh</x:v>
      </x:c>
      <x:c r="G86" s="15"/>
      <x:c r="H86" s="16"/>
      <x:c r="I86" s="15"/>
      <x:c r="J86" s="15"/>
      <x:c r="K86" s="16"/>
      <x:c r="L86" s="15"/>
      <x:c r="M86" s="15"/>
      <x:c r="N86" s="11" t="str">
        <x:f>IF(F86="Không đạt","Cần khắc phục",IF(F86="Chưa xác minh","Chưa xác minh",IF(F86="Chưa đủ bằng chứng","Bổ sung bằng chứng",IF(AND(OR(F86="Đạt",F86="Không áp dụng"),G86&lt;&gt;"",I86&lt;&gt;"",J86&lt;&gt;"",ISNUMBER(K86),K86&gt;0,L86&lt;&gt;""),"Đủ dữ liệu xác minh","Thiếu hồ sơ xác minh"))))</x:f>
        <x:v>Chưa xác minh</x:v>
      </x:c>
    </x:row>
    <x:row r="87" ht="64" customHeight="1">
      <x:c r="A87" s="10" t="str">
        <x:v>C4-IR-01</x:v>
      </x:c>
      <x:c r="B87" s="10" t="str">
        <x:v>Lực lượng và đầu mối ứng phó</x:v>
      </x:c>
      <x:c r="C87" s="10" t="str">
        <x:v>P0</x:v>
      </x:c>
      <x:c r="D87" s="10" t="str">
        <x:v>Chưa đánh giá</x:v>
      </x:c>
      <x:c r="E87" s="10" t="str">
        <x:v>CISO/SOC</x:v>
      </x:c>
      <x:c r="F87" s="15" t="str">
        <x:v>Chưa xác minh</x:v>
      </x:c>
      <x:c r="G87" s="15"/>
      <x:c r="H87" s="16"/>
      <x:c r="I87" s="15"/>
      <x:c r="J87" s="15"/>
      <x:c r="K87" s="16"/>
      <x:c r="L87" s="15"/>
      <x:c r="M87" s="15"/>
      <x:c r="N87" s="10" t="str">
        <x:f>IF(F87="Không đạt","Cần khắc phục",IF(F87="Chưa xác minh","Chưa xác minh",IF(F87="Chưa đủ bằng chứng","Bổ sung bằng chứng",IF(AND(OR(F87="Đạt",F87="Không áp dụng"),G87&lt;&gt;"",I87&lt;&gt;"",J87&lt;&gt;"",ISNUMBER(K87),K87&gt;0,L87&lt;&gt;""),"Đủ dữ liệu xác minh","Thiếu hồ sơ xác minh"))))</x:f>
        <x:v>Chưa xác minh</x:v>
      </x:c>
    </x:row>
    <x:row r="88" ht="64" customHeight="1">
      <x:c r="A88" s="11" t="str">
        <x:v>C4-IR-02</x:v>
      </x:c>
      <x:c r="B88" s="11" t="str">
        <x:v>Playbook sự cố</x:v>
      </x:c>
      <x:c r="C88" s="11" t="str">
        <x:v>P0</x:v>
      </x:c>
      <x:c r="D88" s="11" t="str">
        <x:v>Chưa đánh giá</x:v>
      </x:c>
      <x:c r="E88" s="11" t="str">
        <x:v>SOC/SRE/Legal</x:v>
      </x:c>
      <x:c r="F88" s="15" t="str">
        <x:v>Chưa xác minh</x:v>
      </x:c>
      <x:c r="G88" s="15"/>
      <x:c r="H88" s="16"/>
      <x:c r="I88" s="15"/>
      <x:c r="J88" s="15"/>
      <x:c r="K88" s="16"/>
      <x:c r="L88" s="15"/>
      <x:c r="M88" s="15"/>
      <x:c r="N88" s="11" t="str">
        <x:f>IF(F88="Không đạt","Cần khắc phục",IF(F88="Chưa xác minh","Chưa xác minh",IF(F88="Chưa đủ bằng chứng","Bổ sung bằng chứng",IF(AND(OR(F88="Đạt",F88="Không áp dụng"),G88&lt;&gt;"",I88&lt;&gt;"",J88&lt;&gt;"",ISNUMBER(K88),K88&gt;0,L88&lt;&gt;""),"Đủ dữ liệu xác minh","Thiếu hồ sơ xác minh"))))</x:f>
        <x:v>Chưa xác minh</x:v>
      </x:c>
    </x:row>
    <x:row r="89" ht="64" customHeight="1">
      <x:c r="A89" s="10" t="str">
        <x:v>C4-IR-03</x:v>
      </x:c>
      <x:c r="B89" s="10" t="str">
        <x:v>Diễn tập và hậu kiểm</x:v>
      </x:c>
      <x:c r="C89" s="10" t="str">
        <x:v>P0</x:v>
      </x:c>
      <x:c r="D89" s="10" t="str">
        <x:v>Chưa đánh giá</x:v>
      </x:c>
      <x:c r="E89" s="10" t="str">
        <x:v>CISO/BCM</x:v>
      </x:c>
      <x:c r="F89" s="15" t="str">
        <x:v>Chưa xác minh</x:v>
      </x:c>
      <x:c r="G89" s="15"/>
      <x:c r="H89" s="16"/>
      <x:c r="I89" s="15"/>
      <x:c r="J89" s="15"/>
      <x:c r="K89" s="16"/>
      <x:c r="L89" s="15"/>
      <x:c r="M89" s="15"/>
      <x:c r="N89" s="10" t="str">
        <x:f>IF(F89="Không đạt","Cần khắc phục",IF(F89="Chưa xác minh","Chưa xác minh",IF(F89="Chưa đủ bằng chứng","Bổ sung bằng chứng",IF(AND(OR(F89="Đạt",F89="Không áp dụng"),G89&lt;&gt;"",I89&lt;&gt;"",J89&lt;&gt;"",ISNUMBER(K89),K89&gt;0,L89&lt;&gt;""),"Đủ dữ liệu xác minh","Thiếu hồ sơ xác minh"))))</x:f>
        <x:v>Chưa xác minh</x:v>
      </x:c>
    </x:row>
    <x:row r="90" ht="64" customHeight="1">
      <x:c r="A90" s="11" t="str">
        <x:v>C4-IR-04</x:v>
      </x:c>
      <x:c r="B90" s="11" t="str">
        <x:v>BIA/BCP/DR</x:v>
      </x:c>
      <x:c r="C90" s="11" t="str">
        <x:v>P0</x:v>
      </x:c>
      <x:c r="D90" s="11" t="str">
        <x:v>Chưa đánh giá</x:v>
      </x:c>
      <x:c r="E90" s="11" t="str">
        <x:v>BCM/SRE</x:v>
      </x:c>
      <x:c r="F90" s="15" t="str">
        <x:v>Chưa xác minh</x:v>
      </x:c>
      <x:c r="G90" s="15"/>
      <x:c r="H90" s="16"/>
      <x:c r="I90" s="15"/>
      <x:c r="J90" s="15"/>
      <x:c r="K90" s="16"/>
      <x:c r="L90" s="15"/>
      <x:c r="M90" s="15"/>
      <x:c r="N90" s="11" t="str">
        <x:f>IF(F90="Không đạt","Cần khắc phục",IF(F90="Chưa xác minh","Chưa xác minh",IF(F90="Chưa đủ bằng chứng","Bổ sung bằng chứng",IF(AND(OR(F90="Đạt",F90="Không áp dụng"),G90&lt;&gt;"",I90&lt;&gt;"",J90&lt;&gt;"",ISNUMBER(K90),K90&gt;0,L90&lt;&gt;""),"Đủ dữ liệu xác minh","Thiếu hồ sơ xác minh"))))</x:f>
        <x:v>Chưa xác minh</x:v>
      </x:c>
    </x:row>
    <x:row r="91" ht="64" customHeight="1">
      <x:c r="A91" s="10" t="str">
        <x:v>C4-DEV-01</x:v>
      </x:c>
      <x:c r="B91" s="10" t="str">
        <x:v>SDLC an toàn</x:v>
      </x:c>
      <x:c r="C91" s="10" t="str">
        <x:v>P0</x:v>
      </x:c>
      <x:c r="D91" s="10" t="str">
        <x:v>Đang thực hiện</x:v>
      </x:c>
      <x:c r="E91" s="10" t="str">
        <x:v>Engineering/DevSecOps</x:v>
      </x:c>
      <x:c r="F91" s="15" t="str">
        <x:v>Chưa xác minh</x:v>
      </x:c>
      <x:c r="G91" s="15"/>
      <x:c r="H91" s="16"/>
      <x:c r="I91" s="15"/>
      <x:c r="J91" s="15"/>
      <x:c r="K91" s="16"/>
      <x:c r="L91" s="15"/>
      <x:c r="M91" s="15"/>
      <x:c r="N91" s="10" t="str">
        <x:f>IF(F91="Không đạt","Cần khắc phục",IF(F91="Chưa xác minh","Chưa xác minh",IF(F91="Chưa đủ bằng chứng","Bổ sung bằng chứng",IF(AND(OR(F91="Đạt",F91="Không áp dụng"),G91&lt;&gt;"",I91&lt;&gt;"",J91&lt;&gt;"",ISNUMBER(K91),K91&gt;0,L91&lt;&gt;""),"Đủ dữ liệu xác minh","Thiếu hồ sơ xác minh"))))</x:f>
        <x:v>Chưa xác minh</x:v>
      </x:c>
    </x:row>
    <x:row r="92" ht="64" customHeight="1">
      <x:c r="A92" s="11" t="str">
        <x:v>C4-DEV-02</x:v>
      </x:c>
      <x:c r="B92" s="11" t="str">
        <x:v>Tiếp nhận lỗ hổng và RCA</x:v>
      </x:c>
      <x:c r="C92" s="11" t="str">
        <x:v>P1</x:v>
      </x:c>
      <x:c r="D92" s="11" t="str">
        <x:v>Chưa đánh giá</x:v>
      </x:c>
      <x:c r="E92" s="11" t="str">
        <x:v>Product Security</x:v>
      </x:c>
      <x:c r="F92" s="15" t="str">
        <x:v>Chưa xác minh</x:v>
      </x:c>
      <x:c r="G92" s="15"/>
      <x:c r="H92" s="16"/>
      <x:c r="I92" s="15"/>
      <x:c r="J92" s="15"/>
      <x:c r="K92" s="16"/>
      <x:c r="L92" s="15"/>
      <x:c r="M92" s="15"/>
      <x:c r="N92" s="11" t="str">
        <x:f>IF(F92="Không đạt","Cần khắc phục",IF(F92="Chưa xác minh","Chưa xác minh",IF(F92="Chưa đủ bằng chứng","Bổ sung bằng chứng",IF(AND(OR(F92="Đạt",F92="Không áp dụng"),G92&lt;&gt;"",I92&lt;&gt;"",J92&lt;&gt;"",ISNUMBER(K92),K92&gt;0,L92&lt;&gt;""),"Đủ dữ liệu xác minh","Thiếu hồ sơ xác minh"))))</x:f>
        <x:v>Chưa xác minh</x:v>
      </x:c>
    </x:row>
    <x:row r="93" ht="64" customHeight="1">
      <x:c r="A93" s="10" t="str">
        <x:v>C4-DEV-03</x:v>
      </x:c>
      <x:c r="B93" s="10" t="str">
        <x:v>Tách dev/test/prod</x:v>
      </x:c>
      <x:c r="C93" s="10" t="str">
        <x:v>P0</x:v>
      </x:c>
      <x:c r="D93" s="10" t="str">
        <x:v>Chưa đánh giá</x:v>
      </x:c>
      <x:c r="E93" s="10" t="str">
        <x:v>Engineering/Security</x:v>
      </x:c>
      <x:c r="F93" s="15" t="str">
        <x:v>Chưa xác minh</x:v>
      </x:c>
      <x:c r="G93" s="15"/>
      <x:c r="H93" s="16"/>
      <x:c r="I93" s="15"/>
      <x:c r="J93" s="15"/>
      <x:c r="K93" s="16"/>
      <x:c r="L93" s="15"/>
      <x:c r="M93" s="15"/>
      <x:c r="N93" s="10" t="str">
        <x:f>IF(F93="Không đạt","Cần khắc phục",IF(F93="Chưa xác minh","Chưa xác minh",IF(F93="Chưa đủ bằng chứng","Bổ sung bằng chứng",IF(AND(OR(F93="Đạt",F93="Không áp dụng"),G93&lt;&gt;"",I93&lt;&gt;"",J93&lt;&gt;"",ISNUMBER(K93),K93&gt;0,L93&lt;&gt;""),"Đủ dữ liệu xác minh","Thiếu hồ sơ xác minh"))))</x:f>
        <x:v>Chưa xác minh</x:v>
      </x:c>
    </x:row>
    <x:row r="94" ht="64" customHeight="1">
      <x:c r="A94" s="11" t="str">
        <x:v>C4-DEV-04</x:v>
      </x:c>
      <x:c r="B94" s="11" t="str">
        <x:v>Chương trình pentest</x:v>
      </x:c>
      <x:c r="C94" s="11" t="str">
        <x:v>P0</x:v>
      </x:c>
      <x:c r="D94" s="11" t="str">
        <x:v>Chưa đánh giá</x:v>
      </x:c>
      <x:c r="E94" s="11" t="str">
        <x:v>Security</x:v>
      </x:c>
      <x:c r="F94" s="15" t="str">
        <x:v>Chưa xác minh</x:v>
      </x:c>
      <x:c r="G94" s="15"/>
      <x:c r="H94" s="16"/>
      <x:c r="I94" s="15"/>
      <x:c r="J94" s="15"/>
      <x:c r="K94" s="16"/>
      <x:c r="L94" s="15"/>
      <x:c r="M94" s="15"/>
      <x:c r="N94" s="11" t="str">
        <x:f>IF(F94="Không đạt","Cần khắc phục",IF(F94="Chưa xác minh","Chưa xác minh",IF(F94="Chưa đủ bằng chứng","Bổ sung bằng chứng",IF(AND(OR(F94="Đạt",F94="Không áp dụng"),G94&lt;&gt;"",I94&lt;&gt;"",J94&lt;&gt;"",ISNUMBER(K94),K94&gt;0,L94&lt;&gt;""),"Đủ dữ liệu xác minh","Thiếu hồ sơ xác minh"))))</x:f>
        <x:v>Chưa xác minh</x:v>
      </x:c>
    </x:row>
    <x:row r="95" ht="64" customHeight="1">
      <x:c r="A95" s="10" t="str">
        <x:v>C4-DEV-05</x:v>
      </x:c>
      <x:c r="B95" s="10" t="str">
        <x:v>Pentest nội bộ</x:v>
      </x:c>
      <x:c r="C95" s="10" t="str">
        <x:v>P0</x:v>
      </x:c>
      <x:c r="D95" s="10" t="str">
        <x:v>Chưa đánh giá</x:v>
      </x:c>
      <x:c r="E95" s="10" t="str">
        <x:v>Security</x:v>
      </x:c>
      <x:c r="F95" s="15" t="str">
        <x:v>Chưa xác minh</x:v>
      </x:c>
      <x:c r="G95" s="15"/>
      <x:c r="H95" s="16"/>
      <x:c r="I95" s="15"/>
      <x:c r="J95" s="15"/>
      <x:c r="K95" s="16"/>
      <x:c r="L95" s="15"/>
      <x:c r="M95" s="15"/>
      <x:c r="N95" s="10" t="str">
        <x:f>IF(F95="Không đạt","Cần khắc phục",IF(F95="Chưa xác minh","Chưa xác minh",IF(F95="Chưa đủ bằng chứng","Bổ sung bằng chứng",IF(AND(OR(F95="Đạt",F95="Không áp dụng"),G95&lt;&gt;"",I95&lt;&gt;"",J95&lt;&gt;"",ISNUMBER(K95),K95&gt;0,L95&lt;&gt;""),"Đủ dữ liệu xác minh","Thiếu hồ sơ xác minh"))))</x:f>
        <x:v>Chưa xác minh</x:v>
      </x:c>
    </x:row>
    <x:row r="96" ht="64" customHeight="1">
      <x:c r="A96" s="11" t="str">
        <x:v>C4-CLD-01</x:v>
      </x:c>
      <x:c r="B96" s="11" t="str">
        <x:v>Đối soát topology as-built</x:v>
      </x:c>
      <x:c r="C96" s="11" t="str">
        <x:v>P0</x:v>
      </x:c>
      <x:c r="D96" s="11" t="str">
        <x:v>Đang thực hiện</x:v>
      </x:c>
      <x:c r="E96" s="11" t="str">
        <x:v>Platform/PMO</x:v>
      </x:c>
      <x:c r="F96" s="15" t="str">
        <x:v>Chưa xác minh</x:v>
      </x:c>
      <x:c r="G96" s="15"/>
      <x:c r="H96" s="16"/>
      <x:c r="I96" s="15"/>
      <x:c r="J96" s="15"/>
      <x:c r="K96" s="16"/>
      <x:c r="L96" s="15"/>
      <x:c r="M96" s="15"/>
      <x:c r="N96" s="11" t="str">
        <x:f>IF(F96="Không đạt","Cần khắc phục",IF(F96="Chưa xác minh","Chưa xác minh",IF(F96="Chưa đủ bằng chứng","Bổ sung bằng chứng",IF(AND(OR(F96="Đạt",F96="Không áp dụng"),G96&lt;&gt;"",I96&lt;&gt;"",J96&lt;&gt;"",ISNUMBER(K96),K96&gt;0,L96&lt;&gt;""),"Đủ dữ liệu xác minh","Thiếu hồ sơ xác minh"))))</x:f>
        <x:v>Chưa xác minh</x:v>
      </x:c>
    </x:row>
    <x:row r="97" ht="64" customHeight="1">
      <x:c r="A97" s="10" t="str">
        <x:v>C4-CLD-02</x:v>
      </x:c>
      <x:c r="B97" s="10" t="str">
        <x:v>Ảo hóa phần cứng</x:v>
      </x:c>
      <x:c r="C97" s="10" t="str">
        <x:v>P1</x:v>
      </x:c>
      <x:c r="D97" s="10" t="str">
        <x:v>Đang thực hiện</x:v>
      </x:c>
      <x:c r="E97" s="10" t="str">
        <x:v>Platform</x:v>
      </x:c>
      <x:c r="F97" s="15" t="str">
        <x:v>Chưa xác minh</x:v>
      </x:c>
      <x:c r="G97" s="15"/>
      <x:c r="H97" s="16"/>
      <x:c r="I97" s="15"/>
      <x:c r="J97" s="15"/>
      <x:c r="K97" s="16"/>
      <x:c r="L97" s="15"/>
      <x:c r="M97" s="15"/>
      <x:c r="N97" s="10" t="str">
        <x:f>IF(F97="Không đạt","Cần khắc phục",IF(F97="Chưa xác minh","Chưa xác minh",IF(F97="Chưa đủ bằng chứng","Bổ sung bằng chứng",IF(AND(OR(F97="Đạt",F97="Không áp dụng"),G97&lt;&gt;"",I97&lt;&gt;"",J97&lt;&gt;"",ISNUMBER(K97),K97&gt;0,L97&lt;&gt;""),"Đủ dữ liệu xác minh","Thiếu hồ sơ xác minh"))))</x:f>
        <x:v>Chưa xác minh</x:v>
      </x:c>
    </x:row>
    <x:row r="98" ht="64" customHeight="1">
      <x:c r="A98" s="11" t="str">
        <x:v>C4-CLD-03</x:v>
      </x:c>
      <x:c r="B98" s="11" t="str">
        <x:v>HA control plane</x:v>
      </x:c>
      <x:c r="C98" s="11" t="str">
        <x:v>P0</x:v>
      </x:c>
      <x:c r="D98" s="11" t="str">
        <x:v>Đang thực hiện</x:v>
      </x:c>
      <x:c r="E98" s="11" t="str">
        <x:v>Platform/SRE</x:v>
      </x:c>
      <x:c r="F98" s="15" t="str">
        <x:v>Chưa xác minh</x:v>
      </x:c>
      <x:c r="G98" s="15"/>
      <x:c r="H98" s="16"/>
      <x:c r="I98" s="15"/>
      <x:c r="J98" s="15"/>
      <x:c r="K98" s="16"/>
      <x:c r="L98" s="15"/>
      <x:c r="M98" s="15"/>
      <x:c r="N98" s="11" t="str">
        <x:f>IF(F98="Không đạt","Cần khắc phục",IF(F98="Chưa xác minh","Chưa xác minh",IF(F98="Chưa đủ bằng chứng","Bổ sung bằng chứng",IF(AND(OR(F98="Đạt",F98="Không áp dụng"),G98&lt;&gt;"",I98&lt;&gt;"",J98&lt;&gt;"",ISNUMBER(K98),K98&gt;0,L98&lt;&gt;""),"Đủ dữ liệu xác minh","Thiếu hồ sơ xác minh"))))</x:f>
        <x:v>Chưa xác minh</x:v>
      </x:c>
    </x:row>
    <x:row r="99" ht="64" customHeight="1">
      <x:c r="A99" s="10" t="str">
        <x:v>C4-CLD-04</x:v>
      </x:c>
      <x:c r="B99" s="10" t="str">
        <x:v>HA network node</x:v>
      </x:c>
      <x:c r="C99" s="10" t="str">
        <x:v>P0</x:v>
      </x:c>
      <x:c r="D99" s="10" t="str">
        <x:v>Đang thực hiện</x:v>
      </x:c>
      <x:c r="E99" s="10" t="str">
        <x:v>Platform/NetOps</x:v>
      </x:c>
      <x:c r="F99" s="15" t="str">
        <x:v>Chưa xác minh</x:v>
      </x:c>
      <x:c r="G99" s="15"/>
      <x:c r="H99" s="16"/>
      <x:c r="I99" s="15"/>
      <x:c r="J99" s="15"/>
      <x:c r="K99" s="16"/>
      <x:c r="L99" s="15"/>
      <x:c r="M99" s="15"/>
      <x:c r="N99" s="10" t="str">
        <x:f>IF(F99="Không đạt","Cần khắc phục",IF(F99="Chưa xác minh","Chưa xác minh",IF(F99="Chưa đủ bằng chứng","Bổ sung bằng chứng",IF(AND(OR(F99="Đạt",F99="Không áp dụng"),G99&lt;&gt;"",I99&lt;&gt;"",J99&lt;&gt;"",ISNUMBER(K99),K99&gt;0,L99&lt;&gt;""),"Đủ dữ liệu xác minh","Thiếu hồ sơ xác minh"))))</x:f>
        <x:v>Chưa xác minh</x:v>
      </x:c>
    </x:row>
    <x:row r="100" ht="64" customHeight="1">
      <x:c r="A100" s="11" t="str">
        <x:v>C4-CLD-05</x:v>
      </x:c>
      <x:c r="B100" s="11" t="str">
        <x:v>Backend lưu trữ HA</x:v>
      </x:c>
      <x:c r="C100" s="11" t="str">
        <x:v>P0</x:v>
      </x:c>
      <x:c r="D100" s="11" t="str">
        <x:v>Đang thực hiện</x:v>
      </x:c>
      <x:c r="E100" s="11" t="str">
        <x:v>Storage/Architecture</x:v>
      </x:c>
      <x:c r="F100" s="15" t="str">
        <x:v>Chưa xác minh</x:v>
      </x:c>
      <x:c r="G100" s="15"/>
      <x:c r="H100" s="16"/>
      <x:c r="I100" s="15"/>
      <x:c r="J100" s="15"/>
      <x:c r="K100" s="16"/>
      <x:c r="L100" s="15"/>
      <x:c r="M100" s="15"/>
      <x:c r="N100" s="11" t="str">
        <x:f>IF(F100="Không đạt","Cần khắc phục",IF(F100="Chưa xác minh","Chưa xác minh",IF(F100="Chưa đủ bằng chứng","Bổ sung bằng chứng",IF(AND(OR(F100="Đạt",F100="Không áp dụng"),G100&lt;&gt;"",I100&lt;&gt;"",J100&lt;&gt;"",ISNUMBER(K100),K100&gt;0,L100&lt;&gt;""),"Đủ dữ liệu xác minh","Thiếu hồ sơ xác minh"))))</x:f>
        <x:v>Chưa xác minh</x:v>
      </x:c>
    </x:row>
    <x:row r="101" ht="64" customHeight="1">
      <x:c r="A101" s="10" t="str">
        <x:v>C4-CLD-06</x:v>
      </x:c>
      <x:c r="B101" s="10" t="str">
        <x:v>Live migration và maintenance</x:v>
      </x:c>
      <x:c r="C101" s="10" t="str">
        <x:v>P1</x:v>
      </x:c>
      <x:c r="D101" s="10" t="str">
        <x:v>Đang thực hiện</x:v>
      </x:c>
      <x:c r="E101" s="10" t="str">
        <x:v>Platform/SRE</x:v>
      </x:c>
      <x:c r="F101" s="15" t="str">
        <x:v>Chưa xác minh</x:v>
      </x:c>
      <x:c r="G101" s="15"/>
      <x:c r="H101" s="16"/>
      <x:c r="I101" s="15"/>
      <x:c r="J101" s="15"/>
      <x:c r="K101" s="16"/>
      <x:c r="L101" s="15"/>
      <x:c r="M101" s="15"/>
      <x:c r="N101" s="10" t="str">
        <x:f>IF(F101="Không đạt","Cần khắc phục",IF(F101="Chưa xác minh","Chưa xác minh",IF(F101="Chưa đủ bằng chứng","Bổ sung bằng chứng",IF(AND(OR(F101="Đạt",F101="Không áp dụng"),G101&lt;&gt;"",I101&lt;&gt;"",J101&lt;&gt;"",ISNUMBER(K101),K101&gt;0,L101&lt;&gt;""),"Đủ dữ liệu xác minh","Thiếu hồ sơ xác minh"))))</x:f>
        <x:v>Chưa xác minh</x:v>
      </x:c>
    </x:row>
    <x:row r="102" ht="64" customHeight="1">
      <x:c r="A102" s="11" t="str">
        <x:v>C4-CLD-07</x:v>
      </x:c>
      <x:c r="B102" s="11" t="str">
        <x:v>Keystone federation và policy</x:v>
      </x:c>
      <x:c r="C102" s="11" t="str">
        <x:v>P0</x:v>
      </x:c>
      <x:c r="D102" s="11" t="str">
        <x:v>Chưa đánh giá</x:v>
      </x:c>
      <x:c r="E102" s="11" t="str">
        <x:v>IAM/Platform</x:v>
      </x:c>
      <x:c r="F102" s="15" t="str">
        <x:v>Chưa xác minh</x:v>
      </x:c>
      <x:c r="G102" s="15"/>
      <x:c r="H102" s="16"/>
      <x:c r="I102" s="15"/>
      <x:c r="J102" s="15"/>
      <x:c r="K102" s="16"/>
      <x:c r="L102" s="15"/>
      <x:c r="M102" s="15"/>
      <x:c r="N102" s="11" t="str">
        <x:f>IF(F102="Không đạt","Cần khắc phục",IF(F102="Chưa xác minh","Chưa xác minh",IF(F102="Chưa đủ bằng chứng","Bổ sung bằng chứng",IF(AND(OR(F102="Đạt",F102="Không áp dụng"),G102&lt;&gt;"",I102&lt;&gt;"",J102&lt;&gt;"",ISNUMBER(K102),K102&gt;0,L102&lt;&gt;""),"Đủ dữ liệu xác minh","Thiếu hồ sơ xác minh"))))</x:f>
        <x:v>Chưa xác minh</x:v>
      </x:c>
    </x:row>
    <x:row r="103" ht="64" customHeight="1">
      <x:c r="A103" s="10" t="str">
        <x:v>C4-CLD-08</x:v>
      </x:c>
      <x:c r="B103" s="10" t="str">
        <x:v>Barbican/KMS/HSM</x:v>
      </x:c>
      <x:c r="C103" s="10" t="str">
        <x:v>P0</x:v>
      </x:c>
      <x:c r="D103" s="10" t="str">
        <x:v>Chưa đánh giá</x:v>
      </x:c>
      <x:c r="E103" s="10" t="str">
        <x:v>Security/Platform</x:v>
      </x:c>
      <x:c r="F103" s="15" t="str">
        <x:v>Chưa xác minh</x:v>
      </x:c>
      <x:c r="G103" s="15"/>
      <x:c r="H103" s="16"/>
      <x:c r="I103" s="15"/>
      <x:c r="J103" s="15"/>
      <x:c r="K103" s="16"/>
      <x:c r="L103" s="15"/>
      <x:c r="M103" s="15"/>
      <x:c r="N103" s="10" t="str">
        <x:f>IF(F103="Không đạt","Cần khắc phục",IF(F103="Chưa xác minh","Chưa xác minh",IF(F103="Chưa đủ bằng chứng","Bổ sung bằng chứng",IF(AND(OR(F103="Đạt",F103="Không áp dụng"),G103&lt;&gt;"",I103&lt;&gt;"",J103&lt;&gt;"",ISNUMBER(K103),K103&gt;0,L103&lt;&gt;""),"Đủ dữ liệu xác minh","Thiếu hồ sơ xác minh"))))</x:f>
        <x:v>Chưa xác minh</x:v>
      </x:c>
    </x:row>
    <x:row r="104" ht="64" customHeight="1">
      <x:c r="A104" s="11" t="str">
        <x:v>C4-CLD-09</x:v>
      </x:c>
      <x:c r="B104" s="11" t="str">
        <x:v>Bảo vệ metadata service</x:v>
      </x:c>
      <x:c r="C104" s="11" t="str">
        <x:v>P0</x:v>
      </x:c>
      <x:c r="D104" s="11" t="str">
        <x:v>Chưa đánh giá</x:v>
      </x:c>
      <x:c r="E104" s="11" t="str">
        <x:v>Platform/Security</x:v>
      </x:c>
      <x:c r="F104" s="15" t="str">
        <x:v>Chưa xác minh</x:v>
      </x:c>
      <x:c r="G104" s="15"/>
      <x:c r="H104" s="16"/>
      <x:c r="I104" s="15"/>
      <x:c r="J104" s="15"/>
      <x:c r="K104" s="16"/>
      <x:c r="L104" s="15"/>
      <x:c r="M104" s="15"/>
      <x:c r="N104" s="11" t="str">
        <x:f>IF(F104="Không đạt","Cần khắc phục",IF(F104="Chưa xác minh","Chưa xác minh",IF(F104="Chưa đủ bằng chứng","Bổ sung bằng chứng",IF(AND(OR(F104="Đạt",F104="Không áp dụng"),G104&lt;&gt;"",I104&lt;&gt;"",J104&lt;&gt;"",ISNUMBER(K104),K104&gt;0,L104&lt;&gt;""),"Đủ dữ liệu xác minh","Thiếu hồ sơ xác minh"))))</x:f>
        <x:v>Chưa xác minh</x:v>
      </x:c>
    </x:row>
    <x:row r="105" ht="64" customHeight="1">
      <x:c r="A105" s="10" t="str">
        <x:v>C4-CLD-10</x:v>
      </x:c>
      <x:c r="B105" s="10" t="str">
        <x:v>Neutron anti-spoof và security group</x:v>
      </x:c>
      <x:c r="C105" s="10" t="str">
        <x:v>P0</x:v>
      </x:c>
      <x:c r="D105" s="10" t="str">
        <x:v>Chưa đánh giá</x:v>
      </x:c>
      <x:c r="E105" s="10" t="str">
        <x:v>Platform/NetOps</x:v>
      </x:c>
      <x:c r="F105" s="15" t="str">
        <x:v>Chưa xác minh</x:v>
      </x:c>
      <x:c r="G105" s="15"/>
      <x:c r="H105" s="16"/>
      <x:c r="I105" s="15"/>
      <x:c r="J105" s="15"/>
      <x:c r="K105" s="16"/>
      <x:c r="L105" s="15"/>
      <x:c r="M105" s="15"/>
      <x:c r="N105" s="10" t="str">
        <x:f>IF(F105="Không đạt","Cần khắc phục",IF(F105="Chưa xác minh","Chưa xác minh",IF(F105="Chưa đủ bằng chứng","Bổ sung bằng chứng",IF(AND(OR(F105="Đạt",F105="Không áp dụng"),G105&lt;&gt;"",I105&lt;&gt;"",J105&lt;&gt;"",ISNUMBER(K105),K105&gt;0,L105&lt;&gt;""),"Đủ dữ liệu xác minh","Thiếu hồ sơ xác minh"))))</x:f>
        <x:v>Chưa xác minh</x:v>
      </x:c>
    </x:row>
    <x:row r="106" ht="64" customHeight="1">
      <x:c r="A106" s="11" t="str">
        <x:v>C4-CLD-11</x:v>
      </x:c>
      <x:c r="B106" s="11" t="str">
        <x:v>Glance image trust</x:v>
      </x:c>
      <x:c r="C106" s="11" t="str">
        <x:v>P0</x:v>
      </x:c>
      <x:c r="D106" s="11" t="str">
        <x:v>Chưa đánh giá</x:v>
      </x:c>
      <x:c r="E106" s="11" t="str">
        <x:v>Platform/DevSecOps</x:v>
      </x:c>
      <x:c r="F106" s="15" t="str">
        <x:v>Chưa xác minh</x:v>
      </x:c>
      <x:c r="G106" s="15"/>
      <x:c r="H106" s="16"/>
      <x:c r="I106" s="15"/>
      <x:c r="J106" s="15"/>
      <x:c r="K106" s="16"/>
      <x:c r="L106" s="15"/>
      <x:c r="M106" s="15"/>
      <x:c r="N106" s="11" t="str">
        <x:f>IF(F106="Không đạt","Cần khắc phục",IF(F106="Chưa xác minh","Chưa xác minh",IF(F106="Chưa đủ bằng chứng","Bổ sung bằng chứng",IF(AND(OR(F106="Đạt",F106="Không áp dụng"),G106&lt;&gt;"",I106&lt;&gt;"",J106&lt;&gt;"",ISNUMBER(K106),K106&gt;0,L106&lt;&gt;""),"Đủ dữ liệu xác minh","Thiếu hồ sơ xác minh"))))</x:f>
        <x:v>Chưa xác minh</x:v>
      </x:c>
    </x:row>
    <x:row r="107" ht="64" customHeight="1">
      <x:c r="A107" s="10" t="str">
        <x:v>C4-CLD-12</x:v>
      </x:c>
      <x:c r="B107" s="10" t="str">
        <x:v>Cinder mã hóa và xóa an toàn</x:v>
      </x:c>
      <x:c r="C107" s="10" t="str">
        <x:v>P0</x:v>
      </x:c>
      <x:c r="D107" s="10" t="str">
        <x:v>Chưa đánh giá</x:v>
      </x:c>
      <x:c r="E107" s="10" t="str">
        <x:v>Storage/Security</x:v>
      </x:c>
      <x:c r="F107" s="15" t="str">
        <x:v>Chưa xác minh</x:v>
      </x:c>
      <x:c r="G107" s="15"/>
      <x:c r="H107" s="16"/>
      <x:c r="I107" s="15"/>
      <x:c r="J107" s="15"/>
      <x:c r="K107" s="16"/>
      <x:c r="L107" s="15"/>
      <x:c r="M107" s="15"/>
      <x:c r="N107" s="10" t="str">
        <x:f>IF(F107="Không đạt","Cần khắc phục",IF(F107="Chưa xác minh","Chưa xác minh",IF(F107="Chưa đủ bằng chứng","Bổ sung bằng chứng",IF(AND(OR(F107="Đạt",F107="Không áp dụng"),G107&lt;&gt;"",I107&lt;&gt;"",J107&lt;&gt;"",ISNUMBER(K107),K107&gt;0,L107&lt;&gt;""),"Đủ dữ liệu xác minh","Thiếu hồ sơ xác minh"))))</x:f>
        <x:v>Chưa xác minh</x:v>
      </x:c>
    </x:row>
    <x:row r="108" ht="64" customHeight="1">
      <x:c r="A108" s="11" t="str">
        <x:v>C4-CLD-13</x:v>
      </x:c>
      <x:c r="B108" s="11" t="str">
        <x:v>Nova placement và failure domain</x:v>
      </x:c>
      <x:c r="C108" s="11" t="str">
        <x:v>P1</x:v>
      </x:c>
      <x:c r="D108" s="11" t="str">
        <x:v>Đang thực hiện</x:v>
      </x:c>
      <x:c r="E108" s="11" t="str">
        <x:v>Platform/SRE</x:v>
      </x:c>
      <x:c r="F108" s="15" t="str">
        <x:v>Chưa xác minh</x:v>
      </x:c>
      <x:c r="G108" s="15"/>
      <x:c r="H108" s="16"/>
      <x:c r="I108" s="15"/>
      <x:c r="J108" s="15"/>
      <x:c r="K108" s="16"/>
      <x:c r="L108" s="15"/>
      <x:c r="M108" s="15"/>
      <x:c r="N108" s="11" t="str">
        <x:f>IF(F108="Không đạt","Cần khắc phục",IF(F108="Chưa xác minh","Chưa xác minh",IF(F108="Chưa đủ bằng chứng","Bổ sung bằng chứng",IF(AND(OR(F108="Đạt",F108="Không áp dụng"),G108&lt;&gt;"",I108&lt;&gt;"",J108&lt;&gt;"",ISNUMBER(K108),K108&gt;0,L108&lt;&gt;""),"Đủ dữ liệu xác minh","Thiếu hồ sơ xác minh"))))</x:f>
        <x:v>Chưa xác minh</x:v>
      </x:c>
    </x:row>
    <x:row r="109" ht="64" customHeight="1">
      <x:c r="A109" s="10" t="str">
        <x:v>C4-CLD-14</x:v>
      </x:c>
      <x:c r="B109" s="10" t="str">
        <x:v>Quota, rate limit và chống noisy neighbor</x:v>
      </x:c>
      <x:c r="C109" s="10" t="str">
        <x:v>P1</x:v>
      </x:c>
      <x:c r="D109" s="10" t="str">
        <x:v>Chưa đánh giá</x:v>
      </x:c>
      <x:c r="E109" s="10" t="str">
        <x:v>Product/Platform</x:v>
      </x:c>
      <x:c r="F109" s="15" t="str">
        <x:v>Chưa xác minh</x:v>
      </x:c>
      <x:c r="G109" s="15"/>
      <x:c r="H109" s="16"/>
      <x:c r="I109" s="15"/>
      <x:c r="J109" s="15"/>
      <x:c r="K109" s="16"/>
      <x:c r="L109" s="15"/>
      <x:c r="M109" s="15"/>
      <x:c r="N109" s="10" t="str">
        <x:f>IF(F109="Không đạt","Cần khắc phục",IF(F109="Chưa xác minh","Chưa xác minh",IF(F109="Chưa đủ bằng chứng","Bổ sung bằng chứng",IF(AND(OR(F109="Đạt",F109="Không áp dụng"),G109&lt;&gt;"",I109&lt;&gt;"",J109&lt;&gt;"",ISNUMBER(K109),K109&gt;0,L109&lt;&gt;""),"Đủ dữ liệu xác minh","Thiếu hồ sơ xác minh"))))</x:f>
        <x:v>Chưa xác minh</x:v>
      </x:c>
    </x:row>
    <x:row r="110" ht="64" customHeight="1">
      <x:c r="A110" s="11" t="str">
        <x:v>C4-CLD-15</x:v>
      </x:c>
      <x:c r="B110" s="11" t="str">
        <x:v>Metering và billing có truy vết</x:v>
      </x:c>
      <x:c r="C110" s="11" t="str">
        <x:v>P1</x:v>
      </x:c>
      <x:c r="D110" s="11" t="str">
        <x:v>Chưa đánh giá</x:v>
      </x:c>
      <x:c r="E110" s="11" t="str">
        <x:v>FinOps/Product</x:v>
      </x:c>
      <x:c r="F110" s="15" t="str">
        <x:v>Chưa xác minh</x:v>
      </x:c>
      <x:c r="G110" s="15"/>
      <x:c r="H110" s="16"/>
      <x:c r="I110" s="15"/>
      <x:c r="J110" s="15"/>
      <x:c r="K110" s="16"/>
      <x:c r="L110" s="15"/>
      <x:c r="M110" s="15"/>
      <x:c r="N110" s="11" t="str">
        <x:f>IF(F110="Không đạt","Cần khắc phục",IF(F110="Chưa xác minh","Chưa xác minh",IF(F110="Chưa đủ bằng chứng","Bổ sung bằng chứng",IF(AND(OR(F110="Đạt",F110="Không áp dụng"),G110&lt;&gt;"",I110&lt;&gt;"",J110&lt;&gt;"",ISNUMBER(K110),K110&gt;0,L110&lt;&gt;""),"Đủ dữ liệu xác minh","Thiếu hồ sơ xác minh"))))</x:f>
        <x:v>Chưa xác minh</x:v>
      </x:c>
    </x:row>
    <x:row r="111" ht="64" customHeight="1">
      <x:c r="A111" s="10" t="str">
        <x:v>C4-CLD-16</x:v>
      </x:c>
      <x:c r="B111" s="10" t="str">
        <x:v>Tên miền/IP production</x:v>
      </x:c>
      <x:c r="C111" s="10" t="str">
        <x:v>P0</x:v>
      </x:c>
      <x:c r="D111" s="10" t="str">
        <x:v>Không đạt</x:v>
      </x:c>
      <x:c r="E111" s="10" t="str">
        <x:v>NetOps/Platform</x:v>
      </x:c>
      <x:c r="F111" s="15" t="str">
        <x:v>Chưa xác minh</x:v>
      </x:c>
      <x:c r="G111" s="15"/>
      <x:c r="H111" s="16"/>
      <x:c r="I111" s="15"/>
      <x:c r="J111" s="15"/>
      <x:c r="K111" s="16"/>
      <x:c r="L111" s="15"/>
      <x:c r="M111" s="15"/>
      <x:c r="N111" s="10" t="str">
        <x:f>IF(F111="Không đạt","Cần khắc phục",IF(F111="Chưa xác minh","Chưa xác minh",IF(F111="Chưa đủ bằng chứng","Bổ sung bằng chứng",IF(AND(OR(F111="Đạt",F111="Không áp dụng"),G111&lt;&gt;"",I111&lt;&gt;"",J111&lt;&gt;"",ISNUMBER(K111),K111&gt;0,L111&lt;&gt;""),"Đủ dữ liệu xác minh","Thiếu hồ sơ xác minh"))))</x:f>
        <x:v>Chưa xác minh</x:v>
      </x:c>
    </x:row>
    <x:row r="112" ht="64" customHeight="1">
      <x:c r="A112" s="11" t="str">
        <x:v>C4-CLD-17</x:v>
      </x:c>
      <x:c r="B112" s="11" t="str">
        <x:v>Seed/khôi phục độc lập</x:v>
      </x:c>
      <x:c r="C112" s="11" t="str">
        <x:v>P0</x:v>
      </x:c>
      <x:c r="D112" s="11" t="str">
        <x:v>Đang thực hiện</x:v>
      </x:c>
      <x:c r="E112" s="11" t="str">
        <x:v>SRE/Platform</x:v>
      </x:c>
      <x:c r="F112" s="15" t="str">
        <x:v>Chưa xác minh</x:v>
      </x:c>
      <x:c r="G112" s="15"/>
      <x:c r="H112" s="16"/>
      <x:c r="I112" s="15"/>
      <x:c r="J112" s="15"/>
      <x:c r="K112" s="16"/>
      <x:c r="L112" s="15"/>
      <x:c r="M112" s="15"/>
      <x:c r="N112" s="11" t="str">
        <x:f>IF(F112="Không đạt","Cần khắc phục",IF(F112="Chưa xác minh","Chưa xác minh",IF(F112="Chưa đủ bằng chứng","Bổ sung bằng chứng",IF(AND(OR(F112="Đạt",F112="Không áp dụng"),G112&lt;&gt;"",I112&lt;&gt;"",J112&lt;&gt;"",ISNUMBER(K112),K112&gt;0,L112&lt;&gt;""),"Đủ dữ liệu xác minh","Thiếu hồ sơ xác minh"))))</x:f>
        <x:v>Chưa xác minh</x:v>
      </x:c>
    </x:row>
    <x:row r="113" ht="64" customHeight="1">
      <x:c r="A113" s="10" t="str">
        <x:v>C4-DC-01</x:v>
      </x:c>
      <x:c r="B113" s="10" t="str">
        <x:v>Chọn chuẩn và mức bảo đảm DC</x:v>
      </x:c>
      <x:c r="C113" s="10" t="str">
        <x:v>P0</x:v>
      </x:c>
      <x:c r="D113" s="10" t="str">
        <x:v>Đang thực hiện</x:v>
      </x:c>
      <x:c r="E113" s="10" t="str">
        <x:v>DC Owner/Architecture</x:v>
      </x:c>
      <x:c r="F113" s="15" t="str">
        <x:v>Chưa xác minh</x:v>
      </x:c>
      <x:c r="G113" s="15"/>
      <x:c r="H113" s="16"/>
      <x:c r="I113" s="15"/>
      <x:c r="J113" s="15"/>
      <x:c r="K113" s="16"/>
      <x:c r="L113" s="15"/>
      <x:c r="M113" s="15"/>
      <x:c r="N113" s="10" t="str">
        <x:f>IF(F113="Không đạt","Cần khắc phục",IF(F113="Chưa xác minh","Chưa xác minh",IF(F113="Chưa đủ bằng chứng","Bổ sung bằng chứng",IF(AND(OR(F113="Đạt",F113="Không áp dụng"),G113&lt;&gt;"",I113&lt;&gt;"",J113&lt;&gt;"",ISNUMBER(K113),K113&gt;0,L113&lt;&gt;""),"Đủ dữ liệu xác minh","Thiếu hồ sơ xác minh"))))</x:f>
        <x:v>Chưa xác minh</x:v>
      </x:c>
    </x:row>
    <x:row r="114" ht="64" customHeight="1">
      <x:c r="A114" s="11" t="str">
        <x:v>C4-DC-02</x:v>
      </x:c>
      <x:c r="B114" s="11" t="str">
        <x:v>Công bố phù hợp DC</x:v>
      </x:c>
      <x:c r="C114" s="11" t="str">
        <x:v>P0</x:v>
      </x:c>
      <x:c r="D114" s="11" t="str">
        <x:v>Cần xác minh</x:v>
      </x:c>
      <x:c r="E114" s="11" t="str">
        <x:v>DC Owner/Legal</x:v>
      </x:c>
      <x:c r="F114" s="15" t="str">
        <x:v>Chưa xác minh</x:v>
      </x:c>
      <x:c r="G114" s="15"/>
      <x:c r="H114" s="16"/>
      <x:c r="I114" s="15"/>
      <x:c r="J114" s="15"/>
      <x:c r="K114" s="16"/>
      <x:c r="L114" s="15"/>
      <x:c r="M114" s="15"/>
      <x:c r="N114" s="11" t="str">
        <x:f>IF(F114="Không đạt","Cần khắc phục",IF(F114="Chưa xác minh","Chưa xác minh",IF(F114="Chưa đủ bằng chứng","Bổ sung bằng chứng",IF(AND(OR(F114="Đạt",F114="Không áp dụng"),G114&lt;&gt;"",I114&lt;&gt;"",J114&lt;&gt;"",ISNUMBER(K114),K114&gt;0,L114&lt;&gt;""),"Đủ dữ liệu xác minh","Thiếu hồ sơ xác minh"))))</x:f>
        <x:v>Chưa xác minh</x:v>
      </x:c>
    </x:row>
    <x:row r="115" ht="64" customHeight="1">
      <x:c r="A115" s="10" t="str">
        <x:v>C4-DC-03</x:v>
      </x:c>
      <x:c r="B115" s="10" t="str">
        <x:v>Chống sét và tiếp đất</x:v>
      </x:c>
      <x:c r="C115" s="10" t="str">
        <x:v>P0</x:v>
      </x:c>
      <x:c r="D115" s="10" t="str">
        <x:v>Chưa đánh giá</x:v>
      </x:c>
      <x:c r="E115" s="10" t="str">
        <x:v>DC Ops/M&amp;E</x:v>
      </x:c>
      <x:c r="F115" s="15" t="str">
        <x:v>Chưa xác minh</x:v>
      </x:c>
      <x:c r="G115" s="15"/>
      <x:c r="H115" s="16"/>
      <x:c r="I115" s="15"/>
      <x:c r="J115" s="15"/>
      <x:c r="K115" s="16"/>
      <x:c r="L115" s="15"/>
      <x:c r="M115" s="15"/>
      <x:c r="N115" s="10" t="str">
        <x:f>IF(F115="Không đạt","Cần khắc phục",IF(F115="Chưa xác minh","Chưa xác minh",IF(F115="Chưa đủ bằng chứng","Bổ sung bằng chứng",IF(AND(OR(F115="Đạt",F115="Không áp dụng"),G115&lt;&gt;"",I115&lt;&gt;"",J115&lt;&gt;"",ISNUMBER(K115),K115&gt;0,L115&lt;&gt;""),"Đủ dữ liệu xác minh","Thiếu hồ sơ xác minh"))))</x:f>
        <x:v>Chưa xác minh</x:v>
      </x:c>
    </x:row>
    <x:row r="116" ht="64" customHeight="1">
      <x:c r="A116" s="11" t="str">
        <x:v>C4-DC-04</x:v>
      </x:c>
      <x:c r="B116" s="11" t="str">
        <x:v>Vị trí và rủi ro môi trường</x:v>
      </x:c>
      <x:c r="C116" s="11" t="str">
        <x:v>P0</x:v>
      </x:c>
      <x:c r="D116" s="11" t="str">
        <x:v>Chưa đánh giá</x:v>
      </x:c>
      <x:c r="E116" s="11" t="str">
        <x:v>DC Owner/M&amp;E</x:v>
      </x:c>
      <x:c r="F116" s="15" t="str">
        <x:v>Chưa xác minh</x:v>
      </x:c>
      <x:c r="G116" s="15"/>
      <x:c r="H116" s="16"/>
      <x:c r="I116" s="15"/>
      <x:c r="J116" s="15"/>
      <x:c r="K116" s="16"/>
      <x:c r="L116" s="15"/>
      <x:c r="M116" s="15"/>
      <x:c r="N116" s="11" t="str">
        <x:f>IF(F116="Không đạt","Cần khắc phục",IF(F116="Chưa xác minh","Chưa xác minh",IF(F116="Chưa đủ bằng chứng","Bổ sung bằng chứng",IF(AND(OR(F116="Đạt",F116="Không áp dụng"),G116&lt;&gt;"",I116&lt;&gt;"",J116&lt;&gt;"",ISNUMBER(K116),K116&gt;0,L116&lt;&gt;""),"Đủ dữ liệu xác minh","Thiếu hồ sơ xác minh"))))</x:f>
        <x:v>Chưa xác minh</x:v>
      </x:c>
    </x:row>
    <x:row r="117" ht="64" customHeight="1">
      <x:c r="A117" s="10" t="str">
        <x:v>C4-DC-05</x:v>
      </x:c>
      <x:c r="B117" s="10" t="str">
        <x:v>Kiểm soát ra vào</x:v>
      </x:c>
      <x:c r="C117" s="10" t="str">
        <x:v>P0</x:v>
      </x:c>
      <x:c r="D117" s="10" t="str">
        <x:v>Chưa đánh giá</x:v>
      </x:c>
      <x:c r="E117" s="10" t="str">
        <x:v>Physical Security</x:v>
      </x:c>
      <x:c r="F117" s="15" t="str">
        <x:v>Chưa xác minh</x:v>
      </x:c>
      <x:c r="G117" s="15"/>
      <x:c r="H117" s="16"/>
      <x:c r="I117" s="15"/>
      <x:c r="J117" s="15"/>
      <x:c r="K117" s="16"/>
      <x:c r="L117" s="15"/>
      <x:c r="M117" s="15"/>
      <x:c r="N117" s="10" t="str">
        <x:f>IF(F117="Không đạt","Cần khắc phục",IF(F117="Chưa xác minh","Chưa xác minh",IF(F117="Chưa đủ bằng chứng","Bổ sung bằng chứng",IF(AND(OR(F117="Đạt",F117="Không áp dụng"),G117&lt;&gt;"",I117&lt;&gt;"",J117&lt;&gt;"",ISNUMBER(K117),K117&gt;0,L117&lt;&gt;""),"Đủ dữ liệu xác minh","Thiếu hồ sơ xác minh"))))</x:f>
        <x:v>Chưa xác minh</x:v>
      </x:c>
    </x:row>
    <x:row r="118" ht="64" customHeight="1">
      <x:c r="A118" s="11" t="str">
        <x:v>C4-DC-06</x:v>
      </x:c>
      <x:c r="B118" s="11" t="str">
        <x:v>Chống trộm/phá hoại và cáp</x:v>
      </x:c>
      <x:c r="C118" s="11" t="str">
        <x:v>P1</x:v>
      </x:c>
      <x:c r="D118" s="11" t="str">
        <x:v>Chưa đánh giá</x:v>
      </x:c>
      <x:c r="E118" s="11" t="str">
        <x:v>DC Ops/Physical Security</x:v>
      </x:c>
      <x:c r="F118" s="15" t="str">
        <x:v>Chưa xác minh</x:v>
      </x:c>
      <x:c r="G118" s="15"/>
      <x:c r="H118" s="16"/>
      <x:c r="I118" s="15"/>
      <x:c r="J118" s="15"/>
      <x:c r="K118" s="16"/>
      <x:c r="L118" s="15"/>
      <x:c r="M118" s="15"/>
      <x:c r="N118" s="11" t="str">
        <x:f>IF(F118="Không đạt","Cần khắc phục",IF(F118="Chưa xác minh","Chưa xác minh",IF(F118="Chưa đủ bằng chứng","Bổ sung bằng chứng",IF(AND(OR(F118="Đạt",F118="Không áp dụng"),G118&lt;&gt;"",I118&lt;&gt;"",J118&lt;&gt;"",ISNUMBER(K118),K118&gt;0,L118&lt;&gt;""),"Đủ dữ liệu xác minh","Thiếu hồ sơ xác minh"))))</x:f>
        <x:v>Chưa xác minh</x:v>
      </x:c>
    </x:row>
    <x:row r="119" ht="64" customHeight="1">
      <x:c r="A119" s="10" t="str">
        <x:v>C4-DC-07</x:v>
      </x:c>
      <x:c r="B119" s="10" t="str">
        <x:v>PCCC tự động</x:v>
      </x:c>
      <x:c r="C119" s="10" t="str">
        <x:v>P0</x:v>
      </x:c>
      <x:c r="D119" s="10" t="str">
        <x:v>Chưa đánh giá</x:v>
      </x:c>
      <x:c r="E119" s="10" t="str">
        <x:v>DC Owner/PCCC</x:v>
      </x:c>
      <x:c r="F119" s="15" t="str">
        <x:v>Chưa xác minh</x:v>
      </x:c>
      <x:c r="G119" s="15"/>
      <x:c r="H119" s="16"/>
      <x:c r="I119" s="15"/>
      <x:c r="J119" s="15"/>
      <x:c r="K119" s="16"/>
      <x:c r="L119" s="15"/>
      <x:c r="M119" s="15"/>
      <x:c r="N119" s="10" t="str">
        <x:f>IF(F119="Không đạt","Cần khắc phục",IF(F119="Chưa xác minh","Chưa xác minh",IF(F119="Chưa đủ bằng chứng","Bổ sung bằng chứng",IF(AND(OR(F119="Đạt",F119="Không áp dụng"),G119&lt;&gt;"",I119&lt;&gt;"",J119&lt;&gt;"",ISNUMBER(K119),K119&gt;0,L119&lt;&gt;""),"Đủ dữ liệu xác minh","Thiếu hồ sơ xác minh"))))</x:f>
        <x:v>Chưa xác minh</x:v>
      </x:c>
    </x:row>
    <x:row r="120" ht="64" customHeight="1">
      <x:c r="A120" s="11" t="str">
        <x:v>C4-DC-08</x:v>
      </x:c>
      <x:c r="B120" s="11" t="str">
        <x:v>Chống thấm/rò nước</x:v>
      </x:c>
      <x:c r="C120" s="11" t="str">
        <x:v>P0</x:v>
      </x:c>
      <x:c r="D120" s="11" t="str">
        <x:v>Chưa đánh giá</x:v>
      </x:c>
      <x:c r="E120" s="11" t="str">
        <x:v>DC Ops/M&amp;E</x:v>
      </x:c>
      <x:c r="F120" s="15" t="str">
        <x:v>Chưa xác minh</x:v>
      </x:c>
      <x:c r="G120" s="15"/>
      <x:c r="H120" s="16"/>
      <x:c r="I120" s="15"/>
      <x:c r="J120" s="15"/>
      <x:c r="K120" s="16"/>
      <x:c r="L120" s="15"/>
      <x:c r="M120" s="15"/>
      <x:c r="N120" s="11" t="str">
        <x:f>IF(F120="Không đạt","Cần khắc phục",IF(F120="Chưa xác minh","Chưa xác minh",IF(F120="Chưa đủ bằng chứng","Bổ sung bằng chứng",IF(AND(OR(F120="Đạt",F120="Không áp dụng"),G120&lt;&gt;"",I120&lt;&gt;"",J120&lt;&gt;"",ISNUMBER(K120),K120&gt;0,L120&lt;&gt;""),"Đủ dữ liệu xác minh","Thiếu hồ sơ xác minh"))))</x:f>
        <x:v>Chưa xác minh</x:v>
      </x:c>
    </x:row>
    <x:row r="121" ht="64" customHeight="1">
      <x:c r="A121" s="10" t="str">
        <x:v>C4-DC-09</x:v>
      </x:c>
      <x:c r="B121" s="10" t="str">
        <x:v>Chống tĩnh điện</x:v>
      </x:c>
      <x:c r="C121" s="10" t="str">
        <x:v>P1</x:v>
      </x:c>
      <x:c r="D121" s="10" t="str">
        <x:v>Chưa đánh giá</x:v>
      </x:c>
      <x:c r="E121" s="10" t="str">
        <x:v>DC Ops/M&amp;E</x:v>
      </x:c>
      <x:c r="F121" s="15" t="str">
        <x:v>Chưa xác minh</x:v>
      </x:c>
      <x:c r="G121" s="15"/>
      <x:c r="H121" s="16"/>
      <x:c r="I121" s="15"/>
      <x:c r="J121" s="15"/>
      <x:c r="K121" s="16"/>
      <x:c r="L121" s="15"/>
      <x:c r="M121" s="15"/>
      <x:c r="N121" s="10" t="str">
        <x:f>IF(F121="Không đạt","Cần khắc phục",IF(F121="Chưa xác minh","Chưa xác minh",IF(F121="Chưa đủ bằng chứng","Bổ sung bằng chứng",IF(AND(OR(F121="Đạt",F121="Không áp dụng"),G121&lt;&gt;"",I121&lt;&gt;"",J121&lt;&gt;"",ISNUMBER(K121),K121&gt;0,L121&lt;&gt;""),"Đủ dữ liệu xác minh","Thiếu hồ sơ xác minh"))))</x:f>
        <x:v>Chưa xác minh</x:v>
      </x:c>
    </x:row>
    <x:row r="122" ht="64" customHeight="1">
      <x:c r="A122" s="11" t="str">
        <x:v>C4-DC-10</x:v>
      </x:c>
      <x:c r="B122" s="11" t="str">
        <x:v>Nhiệt độ, độ ẩm và làm mát</x:v>
      </x:c>
      <x:c r="C122" s="11" t="str">
        <x:v>P0</x:v>
      </x:c>
      <x:c r="D122" s="11" t="str">
        <x:v>Chưa đánh giá</x:v>
      </x:c>
      <x:c r="E122" s="11" t="str">
        <x:v>DC Ops/M&amp;E</x:v>
      </x:c>
      <x:c r="F122" s="15" t="str">
        <x:v>Chưa xác minh</x:v>
      </x:c>
      <x:c r="G122" s="15"/>
      <x:c r="H122" s="16"/>
      <x:c r="I122" s="15"/>
      <x:c r="J122" s="15"/>
      <x:c r="K122" s="16"/>
      <x:c r="L122" s="15"/>
      <x:c r="M122" s="15"/>
      <x:c r="N122" s="11" t="str">
        <x:f>IF(F122="Không đạt","Cần khắc phục",IF(F122="Chưa xác minh","Chưa xác minh",IF(F122="Chưa đủ bằng chứng","Bổ sung bằng chứng",IF(AND(OR(F122="Đạt",F122="Không áp dụng"),G122&lt;&gt;"",I122&lt;&gt;"",J122&lt;&gt;"",ISNUMBER(K122),K122&gt;0,L122&lt;&gt;""),"Đủ dữ liệu xác minh","Thiếu hồ sơ xác minh"))))</x:f>
        <x:v>Chưa xác minh</x:v>
      </x:c>
    </x:row>
    <x:row r="123" ht="64" customHeight="1">
      <x:c r="A123" s="10" t="str">
        <x:v>C4-DC-11</x:v>
      </x:c>
      <x:c r="B123" s="10" t="str">
        <x:v>Nguồn điện và UPS</x:v>
      </x:c>
      <x:c r="C123" s="10" t="str">
        <x:v>P0</x:v>
      </x:c>
      <x:c r="D123" s="10" t="str">
        <x:v>Cần xác minh</x:v>
      </x:c>
      <x:c r="E123" s="10" t="str">
        <x:v>DC Ops/M&amp;E</x:v>
      </x:c>
      <x:c r="F123" s="15" t="str">
        <x:v>Chưa xác minh</x:v>
      </x:c>
      <x:c r="G123" s="15"/>
      <x:c r="H123" s="16"/>
      <x:c r="I123" s="15"/>
      <x:c r="J123" s="15"/>
      <x:c r="K123" s="16"/>
      <x:c r="L123" s="15"/>
      <x:c r="M123" s="15"/>
      <x:c r="N123" s="10" t="str">
        <x:f>IF(F123="Không đạt","Cần khắc phục",IF(F123="Chưa xác minh","Chưa xác minh",IF(F123="Chưa đủ bằng chứng","Bổ sung bằng chứng",IF(AND(OR(F123="Đạt",F123="Không áp dụng"),G123&lt;&gt;"",I123&lt;&gt;"",J123&lt;&gt;"",ISNUMBER(K123),K123&gt;0,L123&lt;&gt;""),"Đủ dữ liệu xác minh","Thiếu hồ sơ xác minh"))))</x:f>
        <x:v>Chưa xác minh</x:v>
      </x:c>
    </x:row>
    <x:row r="124" ht="64" customHeight="1">
      <x:c r="A124" s="11" t="str">
        <x:v>C4-DC-12</x:v>
      </x:c>
      <x:c r="B124" s="11" t="str">
        <x:v>Phân phối điện A/B</x:v>
      </x:c>
      <x:c r="C124" s="11" t="str">
        <x:v>P0</x:v>
      </x:c>
      <x:c r="D124" s="11" t="str">
        <x:v>Chưa đánh giá</x:v>
      </x:c>
      <x:c r="E124" s="11" t="str">
        <x:v>DC Ops/M&amp;E</x:v>
      </x:c>
      <x:c r="F124" s="15" t="str">
        <x:v>Chưa xác minh</x:v>
      </x:c>
      <x:c r="G124" s="15"/>
      <x:c r="H124" s="16"/>
      <x:c r="I124" s="15"/>
      <x:c r="J124" s="15"/>
      <x:c r="K124" s="16"/>
      <x:c r="L124" s="15"/>
      <x:c r="M124" s="15"/>
      <x:c r="N124" s="11" t="str">
        <x:f>IF(F124="Không đạt","Cần khắc phục",IF(F124="Chưa xác minh","Chưa xác minh",IF(F124="Chưa đủ bằng chứng","Bổ sung bằng chứng",IF(AND(OR(F124="Đạt",F124="Không áp dụng"),G124&lt;&gt;"",I124&lt;&gt;"",J124&lt;&gt;"",ISNUMBER(K124),K124&gt;0,L124&lt;&gt;""),"Đủ dữ liệu xác minh","Thiếu hồ sơ xác minh"))))</x:f>
        <x:v>Chưa xác minh</x:v>
      </x:c>
    </x:row>
    <x:row r="125" ht="64" customHeight="1">
      <x:c r="A125" s="10" t="str">
        <x:v>C4-DC-13</x:v>
      </x:c>
      <x:c r="B125" s="10" t="str">
        <x:v>Máy phát và nhiên liệu</x:v>
      </x:c>
      <x:c r="C125" s="10" t="str">
        <x:v>P0</x:v>
      </x:c>
      <x:c r="D125" s="10" t="str">
        <x:v>Chưa đánh giá</x:v>
      </x:c>
      <x:c r="E125" s="10" t="str">
        <x:v>DC Ops/M&amp;E</x:v>
      </x:c>
      <x:c r="F125" s="15" t="str">
        <x:v>Chưa xác minh</x:v>
      </x:c>
      <x:c r="G125" s="15"/>
      <x:c r="H125" s="16"/>
      <x:c r="I125" s="15"/>
      <x:c r="J125" s="15"/>
      <x:c r="K125" s="16"/>
      <x:c r="L125" s="15"/>
      <x:c r="M125" s="15"/>
      <x:c r="N125" s="10" t="str">
        <x:f>IF(F125="Không đạt","Cần khắc phục",IF(F125="Chưa xác minh","Chưa xác minh",IF(F125="Chưa đủ bằng chứng","Bổ sung bằng chứng",IF(AND(OR(F125="Đạt",F125="Không áp dụng"),G125&lt;&gt;"",I125&lt;&gt;"",J125&lt;&gt;"",ISNUMBER(K125),K125&gt;0,L125&lt;&gt;""),"Đủ dữ liệu xác minh","Thiếu hồ sơ xác minh"))))</x:f>
        <x:v>Chưa xác minh</x:v>
      </x:c>
    </x:row>
    <x:row r="126" ht="64" customHeight="1">
      <x:c r="A126" s="11" t="str">
        <x:v>C4-DC-14</x:v>
      </x:c>
      <x:c r="B126" s="11" t="str">
        <x:v>Bảo vệ điện từ</x:v>
      </x:c>
      <x:c r="C126" s="11" t="str">
        <x:v>P1</x:v>
      </x:c>
      <x:c r="D126" s="11" t="str">
        <x:v>Chưa đánh giá</x:v>
      </x:c>
      <x:c r="E126" s="11" t="str">
        <x:v>DC Ops/M&amp;E</x:v>
      </x:c>
      <x:c r="F126" s="15" t="str">
        <x:v>Chưa xác minh</x:v>
      </x:c>
      <x:c r="G126" s="15"/>
      <x:c r="H126" s="16"/>
      <x:c r="I126" s="15"/>
      <x:c r="J126" s="15"/>
      <x:c r="K126" s="16"/>
      <x:c r="L126" s="15"/>
      <x:c r="M126" s="15"/>
      <x:c r="N126" s="11" t="str">
        <x:f>IF(F126="Không đạt","Cần khắc phục",IF(F126="Chưa xác minh","Chưa xác minh",IF(F126="Chưa đủ bằng chứng","Bổ sung bằng chứng",IF(AND(OR(F126="Đạt",F126="Không áp dụng"),G126&lt;&gt;"",I126&lt;&gt;"",J126&lt;&gt;"",ISNUMBER(K126),K126&gt;0,L126&lt;&gt;""),"Đủ dữ liệu xác minh","Thiếu hồ sơ xác minh"))))</x:f>
        <x:v>Chưa xác minh</x:v>
      </x:c>
    </x:row>
    <x:row r="127" ht="64" customHeight="1">
      <x:c r="A127" s="10" t="str">
        <x:v>C4-DC-15</x:v>
      </x:c>
      <x:c r="B127" s="10" t="str">
        <x:v>Cáp và meet-me-room</x:v>
      </x:c>
      <x:c r="C127" s="10" t="str">
        <x:v>P1</x:v>
      </x:c>
      <x:c r="D127" s="10" t="str">
        <x:v>Chưa đánh giá</x:v>
      </x:c>
      <x:c r="E127" s="10" t="str">
        <x:v>DC Ops/NetOps</x:v>
      </x:c>
      <x:c r="F127" s="15" t="str">
        <x:v>Chưa xác minh</x:v>
      </x:c>
      <x:c r="G127" s="15"/>
      <x:c r="H127" s="16"/>
      <x:c r="I127" s="15"/>
      <x:c r="J127" s="15"/>
      <x:c r="K127" s="16"/>
      <x:c r="L127" s="15"/>
      <x:c r="M127" s="15"/>
      <x:c r="N127" s="10" t="str">
        <x:f>IF(F127="Không đạt","Cần khắc phục",IF(F127="Chưa xác minh","Chưa xác minh",IF(F127="Chưa đủ bằng chứng","Bổ sung bằng chứng",IF(AND(OR(F127="Đạt",F127="Không áp dụng"),G127&lt;&gt;"",I127&lt;&gt;"",J127&lt;&gt;"",ISNUMBER(K127),K127&gt;0,L127&lt;&gt;""),"Đủ dữ liệu xác minh","Thiếu hồ sơ xác minh"))))</x:f>
        <x:v>Chưa xác minh</x:v>
      </x:c>
    </x:row>
    <x:row r="128" ht="64" customHeight="1">
      <x:c r="A128" s="11" t="str">
        <x:v>C4-DC-16</x:v>
      </x:c>
      <x:c r="B128" s="11" t="str">
        <x:v>BMS/DCIM và cảnh báo</x:v>
      </x:c>
      <x:c r="C128" s="11" t="str">
        <x:v>P1</x:v>
      </x:c>
      <x:c r="D128" s="11" t="str">
        <x:v>Chưa đánh giá</x:v>
      </x:c>
      <x:c r="E128" s="11" t="str">
        <x:v>DC Ops/NOC</x:v>
      </x:c>
      <x:c r="F128" s="15" t="str">
        <x:v>Chưa xác minh</x:v>
      </x:c>
      <x:c r="G128" s="15"/>
      <x:c r="H128" s="16"/>
      <x:c r="I128" s="15"/>
      <x:c r="J128" s="15"/>
      <x:c r="K128" s="16"/>
      <x:c r="L128" s="15"/>
      <x:c r="M128" s="15"/>
      <x:c r="N128" s="11" t="str">
        <x:f>IF(F128="Không đạt","Cần khắc phục",IF(F128="Chưa xác minh","Chưa xác minh",IF(F128="Chưa đủ bằng chứng","Bổ sung bằng chứng",IF(AND(OR(F128="Đạt",F128="Không áp dụng"),G128&lt;&gt;"",I128&lt;&gt;"",J128&lt;&gt;"",ISNUMBER(K128),K128&gt;0,L128&lt;&gt;""),"Đủ dữ liệu xác minh","Thiếu hồ sơ xác minh"))))</x:f>
        <x:v>Chưa xác minh</x:v>
      </x:c>
    </x:row>
    <x:row r="129" ht="64" customHeight="1">
      <x:c r="A129" s="10" t="str">
        <x:v>C4-DC-17</x:v>
      </x:c>
      <x:c r="B129" s="10" t="str">
        <x:v>Bảo trì đồng thời và spare</x:v>
      </x:c>
      <x:c r="C129" s="10" t="str">
        <x:v>P1</x:v>
      </x:c>
      <x:c r="D129" s="10" t="str">
        <x:v>Cần xác minh</x:v>
      </x:c>
      <x:c r="E129" s="10" t="str">
        <x:v>DC Ops/SRE</x:v>
      </x:c>
      <x:c r="F129" s="15" t="str">
        <x:v>Chưa xác minh</x:v>
      </x:c>
      <x:c r="G129" s="15"/>
      <x:c r="H129" s="16"/>
      <x:c r="I129" s="15"/>
      <x:c r="J129" s="15"/>
      <x:c r="K129" s="16"/>
      <x:c r="L129" s="15"/>
      <x:c r="M129" s="15"/>
      <x:c r="N129" s="10" t="str">
        <x:f>IF(F129="Không đạt","Cần khắc phục",IF(F129="Chưa xác minh","Chưa xác minh",IF(F129="Chưa đủ bằng chứng","Bổ sung bằng chứng",IF(AND(OR(F129="Đạt",F129="Không áp dụng"),G129&lt;&gt;"",I129&lt;&gt;"",J129&lt;&gt;"",ISNUMBER(K129),K129&gt;0,L129&lt;&gt;""),"Đủ dữ liệu xác minh","Thiếu hồ sơ xác minh"))))</x:f>
        <x:v>Chưa xác minh</x:v>
      </x:c>
    </x:row>
    <x:row r="130" ht="64" customHeight="1">
      <x:c r="A130" s="11" t="str">
        <x:v>C4-DC-18</x:v>
      </x:c>
      <x:c r="B130" s="11" t="str">
        <x:v>DR site và khoảng cách rủi ro</x:v>
      </x:c>
      <x:c r="C130" s="11" t="str">
        <x:v>P0</x:v>
      </x:c>
      <x:c r="D130" s="11" t="str">
        <x:v>Không đạt</x:v>
      </x:c>
      <x:c r="E130" s="11" t="str">
        <x:v>BCM/Architecture</x:v>
      </x:c>
      <x:c r="F130" s="15" t="str">
        <x:v>Chưa xác minh</x:v>
      </x:c>
      <x:c r="G130" s="15"/>
      <x:c r="H130" s="16"/>
      <x:c r="I130" s="15"/>
      <x:c r="J130" s="15"/>
      <x:c r="K130" s="16"/>
      <x:c r="L130" s="15"/>
      <x:c r="M130" s="15"/>
      <x:c r="N130" s="11" t="str">
        <x:f>IF(F130="Không đạt","Cần khắc phục",IF(F130="Chưa xác minh","Chưa xác minh",IF(F130="Chưa đủ bằng chứng","Bổ sung bằng chứng",IF(AND(OR(F130="Đạt",F130="Không áp dụng"),G130&lt;&gt;"",I130&lt;&gt;"",J130&lt;&gt;"",ISNUMBER(K130),K130&gt;0,L130&lt;&gt;""),"Đủ dữ liệu xác minh","Thiếu hồ sơ xác minh"))))</x:f>
        <x:v>Chưa xác minh</x:v>
      </x:c>
    </x:row>
    <x:row r="131" ht="64" customHeight="1">
      <x:c r="A131" s="10" t="str">
        <x:v>C4-OPS-01</x:v>
      </x:c>
      <x:c r="B131" s="10" t="str">
        <x:v>Service catalog và tier</x:v>
      </x:c>
      <x:c r="C131" s="10" t="str">
        <x:v>P0</x:v>
      </x:c>
      <x:c r="D131" s="10" t="str">
        <x:v>Chưa đánh giá</x:v>
      </x:c>
      <x:c r="E131" s="10" t="str">
        <x:v>Product/Architecture</x:v>
      </x:c>
      <x:c r="F131" s="15" t="str">
        <x:v>Chưa xác minh</x:v>
      </x:c>
      <x:c r="G131" s="15"/>
      <x:c r="H131" s="16"/>
      <x:c r="I131" s="15"/>
      <x:c r="J131" s="15"/>
      <x:c r="K131" s="16"/>
      <x:c r="L131" s="15"/>
      <x:c r="M131" s="15"/>
      <x:c r="N131" s="10" t="str">
        <x:f>IF(F131="Không đạt","Cần khắc phục",IF(F131="Chưa xác minh","Chưa xác minh",IF(F131="Chưa đủ bằng chứng","Bổ sung bằng chứng",IF(AND(OR(F131="Đạt",F131="Không áp dụng"),G131&lt;&gt;"",I131&lt;&gt;"",J131&lt;&gt;"",ISNUMBER(K131),K131&gt;0,L131&lt;&gt;""),"Đủ dữ liệu xác minh","Thiếu hồ sơ xác minh"))))</x:f>
        <x:v>Chưa xác minh</x:v>
      </x:c>
    </x:row>
    <x:row r="132" ht="64" customHeight="1">
      <x:c r="A132" s="11" t="str">
        <x:v>C4-OPS-02</x:v>
      </x:c>
      <x:c r="B132" s="11" t="str">
        <x:v>Onboarding tenant</x:v>
      </x:c>
      <x:c r="C132" s="11" t="str">
        <x:v>P1</x:v>
      </x:c>
      <x:c r="D132" s="11" t="str">
        <x:v>Chưa đánh giá</x:v>
      </x:c>
      <x:c r="E132" s="11" t="str">
        <x:v>Cloud Ops/Product</x:v>
      </x:c>
      <x:c r="F132" s="15" t="str">
        <x:v>Chưa xác minh</x:v>
      </x:c>
      <x:c r="G132" s="15"/>
      <x:c r="H132" s="16"/>
      <x:c r="I132" s="15"/>
      <x:c r="J132" s="15"/>
      <x:c r="K132" s="16"/>
      <x:c r="L132" s="15"/>
      <x:c r="M132" s="15"/>
      <x:c r="N132" s="11" t="str">
        <x:f>IF(F132="Không đạt","Cần khắc phục",IF(F132="Chưa xác minh","Chưa xác minh",IF(F132="Chưa đủ bằng chứng","Bổ sung bằng chứng",IF(AND(OR(F132="Đạt",F132="Không áp dụng"),G132&lt;&gt;"",I132&lt;&gt;"",J132&lt;&gt;"",ISNUMBER(K132),K132&gt;0,L132&lt;&gt;""),"Đủ dữ liệu xác minh","Thiếu hồ sơ xác minh"))))</x:f>
        <x:v>Chưa xác minh</x:v>
      </x:c>
    </x:row>
    <x:row r="133" ht="64" customHeight="1">
      <x:c r="A133" s="10" t="str">
        <x:v>C4-OPS-03</x:v>
      </x:c>
      <x:c r="B133" s="10" t="str">
        <x:v>Offboarding và data exit</x:v>
      </x:c>
      <x:c r="C133" s="10" t="str">
        <x:v>P0</x:v>
      </x:c>
      <x:c r="D133" s="10" t="str">
        <x:v>Chưa đánh giá</x:v>
      </x:c>
      <x:c r="E133" s="10" t="str">
        <x:v>Cloud Ops/DPO</x:v>
      </x:c>
      <x:c r="F133" s="15" t="str">
        <x:v>Chưa xác minh</x:v>
      </x:c>
      <x:c r="G133" s="15"/>
      <x:c r="H133" s="16"/>
      <x:c r="I133" s="15"/>
      <x:c r="J133" s="15"/>
      <x:c r="K133" s="16"/>
      <x:c r="L133" s="15"/>
      <x:c r="M133" s="15"/>
      <x:c r="N133" s="10" t="str">
        <x:f>IF(F133="Không đạt","Cần khắc phục",IF(F133="Chưa xác minh","Chưa xác minh",IF(F133="Chưa đủ bằng chứng","Bổ sung bằng chứng",IF(AND(OR(F133="Đạt",F133="Không áp dụng"),G133&lt;&gt;"",I133&lt;&gt;"",J133&lt;&gt;"",ISNUMBER(K133),K133&gt;0,L133&lt;&gt;""),"Đủ dữ liệu xác minh","Thiếu hồ sơ xác minh"))))</x:f>
        <x:v>Chưa xác minh</x:v>
      </x:c>
    </x:row>
    <x:row r="134" ht="64" customHeight="1">
      <x:c r="A134" s="11" t="str">
        <x:v>C4-OPS-04</x:v>
      </x:c>
      <x:c r="B134" s="11" t="str">
        <x:v>Change/release management</x:v>
      </x:c>
      <x:c r="C134" s="11" t="str">
        <x:v>P0</x:v>
      </x:c>
      <x:c r="D134" s="11" t="str">
        <x:v>Chưa đánh giá</x:v>
      </x:c>
      <x:c r="E134" s="11" t="str">
        <x:v>SRE/Platform</x:v>
      </x:c>
      <x:c r="F134" s="15" t="str">
        <x:v>Chưa xác minh</x:v>
      </x:c>
      <x:c r="G134" s="15"/>
      <x:c r="H134" s="16"/>
      <x:c r="I134" s="15"/>
      <x:c r="J134" s="15"/>
      <x:c r="K134" s="16"/>
      <x:c r="L134" s="15"/>
      <x:c r="M134" s="15"/>
      <x:c r="N134" s="11" t="str">
        <x:f>IF(F134="Không đạt","Cần khắc phục",IF(F134="Chưa xác minh","Chưa xác minh",IF(F134="Chưa đủ bằng chứng","Bổ sung bằng chứng",IF(AND(OR(F134="Đạt",F134="Không áp dụng"),G134&lt;&gt;"",I134&lt;&gt;"",J134&lt;&gt;"",ISNUMBER(K134),K134&gt;0,L134&lt;&gt;""),"Đủ dữ liệu xác minh","Thiếu hồ sơ xác minh"))))</x:f>
        <x:v>Chưa xác minh</x:v>
      </x:c>
    </x:row>
    <x:row r="135" ht="64" customHeight="1">
      <x:c r="A135" s="10" t="str">
        <x:v>C4-OPS-05</x:v>
      </x:c>
      <x:c r="B135" s="10" t="str">
        <x:v>Capacity và headroom N+1</x:v>
      </x:c>
      <x:c r="C135" s="10" t="str">
        <x:v>P0</x:v>
      </x:c>
      <x:c r="D135" s="10" t="str">
        <x:v>Đang thực hiện</x:v>
      </x:c>
      <x:c r="E135" s="10" t="str">
        <x:v>SRE/FinOps/DC Ops</x:v>
      </x:c>
      <x:c r="F135" s="15" t="str">
        <x:v>Chưa xác minh</x:v>
      </x:c>
      <x:c r="G135" s="15"/>
      <x:c r="H135" s="16"/>
      <x:c r="I135" s="15"/>
      <x:c r="J135" s="15"/>
      <x:c r="K135" s="16"/>
      <x:c r="L135" s="15"/>
      <x:c r="M135" s="15"/>
      <x:c r="N135" s="10" t="str">
        <x:f>IF(F135="Không đạt","Cần khắc phục",IF(F135="Chưa xác minh","Chưa xác minh",IF(F135="Chưa đủ bằng chứng","Bổ sung bằng chứng",IF(AND(OR(F135="Đạt",F135="Không áp dụng"),G135&lt;&gt;"",I135&lt;&gt;"",J135&lt;&gt;"",ISNUMBER(K135),K135&gt;0,L135&lt;&gt;""),"Đủ dữ liệu xác minh","Thiếu hồ sơ xác minh"))))</x:f>
        <x:v>Chưa xác minh</x:v>
      </x:c>
    </x:row>
    <x:row r="136" ht="64" customHeight="1">
      <x:c r="A136" s="11" t="str">
        <x:v>C4-OPS-06</x:v>
      </x:c>
      <x:c r="B136" s="11" t="str">
        <x:v>Status page và truyền thông sự cố</x:v>
      </x:c>
      <x:c r="C136" s="11" t="str">
        <x:v>P1</x:v>
      </x:c>
      <x:c r="D136" s="11" t="str">
        <x:v>Chưa đánh giá</x:v>
      </x:c>
      <x:c r="E136" s="11" t="str">
        <x:v>Support/SRE/Legal</x:v>
      </x:c>
      <x:c r="F136" s="15" t="str">
        <x:v>Chưa xác minh</x:v>
      </x:c>
      <x:c r="G136" s="15"/>
      <x:c r="H136" s="16"/>
      <x:c r="I136" s="15"/>
      <x:c r="J136" s="15"/>
      <x:c r="K136" s="16"/>
      <x:c r="L136" s="15"/>
      <x:c r="M136" s="15"/>
      <x:c r="N136" s="11" t="str">
        <x:f>IF(F136="Không đạt","Cần khắc phục",IF(F136="Chưa xác minh","Chưa xác minh",IF(F136="Chưa đủ bằng chứng","Bổ sung bằng chứng",IF(AND(OR(F136="Đạt",F136="Không áp dụng"),G136&lt;&gt;"",I136&lt;&gt;"",J136&lt;&gt;"",ISNUMBER(K136),K136&gt;0,L136&lt;&gt;""),"Đủ dữ liệu xác minh","Thiếu hồ sơ xác minh"))))</x:f>
        <x:v>Chưa xác minh</x:v>
      </x:c>
    </x:row>
    <x:row r="137" ht="64" customHeight="1">
      <x:c r="A137" s="10" t="str">
        <x:v>C4-OPS-07</x:v>
      </x:c>
      <x:c r="B137" s="10" t="str">
        <x:v>Đánh giá độc lập trước go-live</x:v>
      </x:c>
      <x:c r="C137" s="10" t="str">
        <x:v>P0</x:v>
      </x:c>
      <x:c r="D137" s="10" t="str">
        <x:v>Chưa đánh giá</x:v>
      </x:c>
      <x:c r="E137" s="10" t="str">
        <x:v>CISO/CTO/GRC</x:v>
      </x:c>
      <x:c r="F137" s="15" t="str">
        <x:v>Chưa xác minh</x:v>
      </x:c>
      <x:c r="G137" s="15"/>
      <x:c r="H137" s="16"/>
      <x:c r="I137" s="15"/>
      <x:c r="J137" s="15"/>
      <x:c r="K137" s="16"/>
      <x:c r="L137" s="15"/>
      <x:c r="M137" s="15"/>
      <x:c r="N137" s="10" t="str">
        <x:f>IF(F137="Không đạt","Cần khắc phục",IF(F137="Chưa xác minh","Chưa xác minh",IF(F137="Chưa đủ bằng chứng","Bổ sung bằng chứng",IF(AND(OR(F137="Đạt",F137="Không áp dụng"),G137&lt;&gt;"",I137&lt;&gt;"",J137&lt;&gt;"",ISNUMBER(K137),K137&gt;0,L137&lt;&gt;""),"Đủ dữ liệu xác minh","Thiếu hồ sơ xác minh"))))</x:f>
        <x:v>Chưa xác minh</x:v>
      </x:c>
    </x:row>
  </x:sheetData>
  <x:conditionalFormatting sqref="N9:N137">
    <x:cfRule type="containsText" dxfId="0" priority="1" operator="containsText" text="Cần khắc phục"/>
    <x:cfRule type="containsText" dxfId="1" priority="2" operator="containsText" text="Thiếu hồ sơ"/>
  </x:conditionalFormatting>
  <x:dataValidations count="1">
    <x:dataValidation type="list" sqref="F9:F137">
      <x:formula1>"Chưa xác minh,Chưa đủ bằng chứng,Không đạt,Đạt,Không áp dụng"</x:formula1>
    </x:dataValidation>
  </x:dataValidations>
  <x:pageMargins left="0.7" right="0.7" top="0.75" bottom="0.75" header="0.3" footer="0.3"/>
  <x:tableParts count="1">
    <x:tablePart xmlns:r="http://schemas.openxmlformats.org/officeDocument/2006/relationships" r:id="Rfe5bcfe30f1a43f8"/>
  </x:tableParts>
</x:worksheet>
</file>

<file path=xl/worksheets/sheet2.xml><?xml version="1.0" encoding="utf-8"?>
<x:worksheet xmlns:x="http://schemas.openxmlformats.org/spreadsheetml/2006/main">
  <x:sheetViews>
    <x:sheetView showGridLines="0" workbookViewId="0">
      <x:pane xSplit="1" ySplit="8" topLeftCell="B9" activePane="bottomRight" state="frozen"/>
    </x:sheetView>
  </x:sheetViews>
  <x:sheetFormatPr defaultRowHeight="15"/>
  <x:cols>
    <x:col min="1" max="1" width="14.670000076293945" hidden="0" customWidth="1"/>
    <x:col min="2" max="2" width="24.440000534057617" hidden="0" customWidth="1"/>
    <x:col min="3" max="3" width="28.889999389648438" hidden="0" customWidth="1"/>
    <x:col min="4" max="4" width="62.220001220703125" hidden="0" customWidth="1"/>
    <x:col min="5" max="5" width="17.780000686645508" hidden="0" customWidth="1"/>
    <x:col min="6" max="6" width="55.560001373291016" hidden="0" customWidth="1"/>
    <x:col min="7" max="7" width="38.88999938964844" hidden="0" customWidth="1"/>
    <x:col min="8" max="8" width="20" hidden="0" customWidth="1"/>
    <x:col min="9" max="9" width="10" hidden="0" customWidth="1"/>
    <x:col min="10" max="10" width="35.560001373291016" hidden="0" customWidth="1"/>
  </x:cols>
  <x:sheetData>
    <x:row r="1">
      <x:c r="A1" s="2"/>
      <x:c r="B1" s="2"/>
      <x:c r="C1" s="2"/>
      <x:c r="D1" s="2"/>
      <x:c r="E1" s="2"/>
      <x:c r="F1" s="2"/>
      <x:c r="G1" s="2"/>
      <x:c r="H1" s="2"/>
      <x:c r="I1" s="2"/>
      <x:c r="J1" s="2"/>
    </x:row>
    <x:row r="2" ht="27" customHeight="1">
      <x:c r="A2" s="12" t="str">
        <x:v>Dữ liệu tham khảo từ bản 0.9.4</x:v>
      </x:c>
      <x:c r="B2" s="2"/>
      <x:c r="C2" s="2"/>
      <x:c r="D2" s="2"/>
      <x:c r="E2" s="2"/>
      <x:c r="F2" s="2"/>
      <x:c r="G2" s="2"/>
      <x:c r="H2" s="2"/>
      <x:c r="I2" s="2"/>
      <x:c r="J2" s="2"/>
    </x:row>
    <x:row r="3">
      <x:c r="A3" s="2"/>
      <x:c r="B3" s="2"/>
      <x:c r="C3" s="2"/>
      <x:c r="D3" s="2"/>
      <x:c r="E3" s="2"/>
      <x:c r="F3" s="2"/>
      <x:c r="G3" s="2"/>
      <x:c r="H3" s="2"/>
      <x:c r="I3" s="2"/>
      <x:c r="J3" s="2"/>
    </x:row>
    <x:row r="4">
      <x:c r="A4" s="2" t="str">
        <x:v>Nguồn: XOR_SECURE_CLOUD_Ho_so_Cap_do_4_v0.9.4.docx, ngày 06/10/2026, Phụ lục D, đủ 129 mã C4.</x:v>
      </x:c>
      <x:c r="B4" s="2"/>
      <x:c r="C4" s="2"/>
      <x:c r="D4" s="2"/>
      <x:c r="E4" s="2"/>
      <x:c r="F4" s="2"/>
      <x:c r="G4" s="2"/>
      <x:c r="H4" s="2"/>
      <x:c r="I4" s="2"/>
      <x:c r="J4" s="2"/>
    </x:row>
    <x:row r="5">
      <x:c r="A5" s="2" t="str">
        <x:v>Các căn cứ và kết quả ở tab này được giữ từ nguồn để truy vết. Phải đối chiếu căn cứ hiện hành và kiểm tra lại trước kết luận.</x:v>
      </x:c>
      <x:c r="B5" s="2"/>
      <x:c r="C5" s="2"/>
      <x:c r="D5" s="2"/>
      <x:c r="E5" s="2"/>
      <x:c r="F5" s="2"/>
      <x:c r="G5" s="2"/>
      <x:c r="H5" s="2"/>
      <x:c r="I5" s="2"/>
      <x:c r="J5" s="2"/>
    </x:row>
    <x:row r="6">
      <x:c r="A6" s="2" t="str">
        <x:v>C4-DC-18: chủ quản đã xác nhận DC Cầu Giấy và DR Nam Thăng Long. Bằng chứng cấu hình, sao chép và diễn tập còn phải kiểm tra.</x:v>
      </x:c>
      <x:c r="B6" s="2"/>
      <x:c r="C6" s="2"/>
      <x:c r="D6" s="2"/>
      <x:c r="E6" s="2"/>
      <x:c r="F6" s="2"/>
      <x:c r="G6" s="2"/>
      <x:c r="H6" s="2"/>
      <x:c r="I6" s="2"/>
      <x:c r="J6" s="2"/>
    </x:row>
    <x:row r="7">
      <x:c r="A7" s="2" t="str">
        <x:v>97 Chưa đánh giá; 21 Đang thực hiện; 6 Không đạt; 4 Cần xác minh; 1 Đạt. Chỉ là phân bố trạng thái của tài liệu nguồn.</x:v>
      </x:c>
      <x:c r="B7" s="2"/>
      <x:c r="C7" s="2"/>
      <x:c r="D7" s="2"/>
      <x:c r="E7" s="2"/>
      <x:c r="F7" s="2"/>
      <x:c r="G7" s="2"/>
      <x:c r="H7" s="2"/>
      <x:c r="I7" s="2"/>
      <x:c r="J7" s="2"/>
    </x:row>
    <x:row r="8" ht="38" customHeight="1">
      <x:c r="A8" s="9" t="str">
        <x:v>Mã nguồn</x:v>
      </x:c>
      <x:c r="B8" s="9" t="str">
        <x:v>Nhóm nguồn</x:v>
      </x:c>
      <x:c r="C8" s="9" t="str">
        <x:v>Hạng mục</x:v>
      </x:c>
      <x:c r="D8" s="9" t="str">
        <x:v>Tiêu chí ghi trong nguồn</x:v>
      </x:c>
      <x:c r="E8" s="9" t="str">
        <x:v>Trạng thái lịch sử</x:v>
      </x:c>
      <x:c r="F8" s="9" t="str">
        <x:v>Tồn tại ghi trong nguồn</x:v>
      </x:c>
      <x:c r="G8" s="9" t="str">
        <x:v>Bằng chứng tối thiểu theo nguồn</x:v>
      </x:c>
      <x:c r="H8" s="9" t="str">
        <x:v>Đầu mối nguồn</x:v>
      </x:c>
      <x:c r="I8" s="9" t="str">
        <x:v>Ưu tiên nguồn</x:v>
      </x:c>
      <x:c r="J8" s="9" t="str">
        <x:v>Căn cứ ghi trong nguồn</x:v>
      </x:c>
    </x:row>
    <x:row r="9" ht="76" customHeight="1">
      <x:c r="A9" s="10" t="str">
        <x:v>C4-GOV-01</x:v>
      </x:c>
      <x:c r="B9" s="10" t="str">
        <x:v>Pháp lý và hồ sơ cấp độ</x:v>
      </x:c>
      <x:c r="C9" s="10" t="str">
        <x:v>Xác định ranh giới hệ thống</x:v>
      </x:c>
      <x:c r="D9" s="10" t="str">
        <x:v>Triển khai theo tiêu chí: Mô tả đầy đủ control plane, data plane, mạng, lưu trữ, portal, giám sát, sao lưu, DC/colo và mọi phụ thuộc dùng chung; không chia nhỏ hình thức để hạ cấp độ. Phương án phải được cấu hình, kiểm thử và gắn owner; không dùng thiết kế/tuyên bố thay bằng chứng vận hành.</x:v>
      </x:c>
      <x:c r="E9" s="10" t="str">
        <x:v>Đang thực hiện</x:v>
      </x:c>
      <x:c r="F9" s="10" t="str">
        <x:v>Đã cập nhật thiết kế mục tiêu theo BOM V4 09 server + 01 SAN và sáu zone; còn thiếu phê duyệt ranh giới, dataflow chi tiết, phụ thuộc DC/SOC/backup và bằng chứng thực tế.</x:v>
      </x:c>
      <x:c r="G9" s="10" t="str">
        <x:v>Sơ đồ phạm vi; danh mục thành phần/phụ thuộc; biên bản phê duyệt ranh giới</x:v>
      </x:c>
      <x:c r="H9" s="10" t="str">
        <x:v>Chủ quản/CTO</x:v>
      </x:c>
      <x:c r="I9" s="10" t="str">
        <x:v>P0</x:v>
      </x:c>
      <x:c r="J9" s="10" t="str">
        <x:v>NĐ 331 Điều 6-15</x:v>
      </x:c>
    </x:row>
    <x:row r="10" ht="76" customHeight="1">
      <x:c r="A10" s="11" t="str">
        <x:v>C4-GOV-02</x:v>
      </x:c>
      <x:c r="B10" s="11" t="str">
        <x:v>Pháp lý và hồ sơ cấp độ</x:v>
      </x:c>
      <x:c r="C10" s="11" t="str">
        <x:v>Xác định chủ quản và đơn vị vận hành</x:v>
      </x:c>
      <x:c r="D10" s="11" t="str">
        <x:v>Triển khai theo tiêu chí: Có quyết định hoặc văn bản ủy quyền nêu rõ phạm vi, trách nhiệm, quyền hạn, thời hạn; không để trùng vai trò thẩm định với vận hành nếu thiếu cơ chế độc lập. Phương án phải được cấu hình, kiểm thử và gắn owner; không dùng thiết kế/tuyên bố thay bằng chứng vận hành.</x:v>
      </x:c>
      <x:c r="E10" s="11" t="str">
        <x:v>Chưa đánh giá</x:v>
      </x:c>
      <x:c r="F10" s="11" t="str">
        <x:v>Áp dụng cho cả hạ tầng do doanh nghiệp tự vận hành và phần thuê colo/dịch vụ.</x:v>
      </x:c>
      <x:c r="G10" s="11" t="str">
        <x:v>Quyết định giao chủ quản; RACI; văn bản ủy quyền</x:v>
      </x:c>
      <x:c r="H10" s="11" t="str">
        <x:v>Ban điều hành</x:v>
      </x:c>
      <x:c r="I10" s="11" t="str">
        <x:v>P0</x:v>
      </x:c>
      <x:c r="J10" s="11" t="str">
        <x:v>NĐ 331 Điều 4-5, 18</x:v>
      </x:c>
    </x:row>
    <x:row r="11" ht="76" customHeight="1">
      <x:c r="A11" s="10" t="str">
        <x:v>C4-GOV-03</x:v>
      </x:c>
      <x:c r="B11" s="10" t="str">
        <x:v>Pháp lý và hồ sơ cấp độ</x:v>
      </x:c>
      <x:c r="C11" s="10" t="str">
        <x:v>Phân loại dịch vụ và hệ thống khách hàng</x:v>
      </x:c>
      <x:c r="D11" s="10" t="str">
        <x:v>Triển khai theo tiêu chí: Lập danh mục hệ thống được phục vụ, dữ liệu, chủ quản, mức tác động và cấp độ dự kiến; cập nhật khi thêm dịch vụ hoặc khách hàng trọng yếu. Phương án phải được cấu hình, kiểm thử và gắn owner; không dùng thiết kế/tuyên bố thay bằng chứng vận hành.</x:v>
      </x:c>
      <x:c r="E11" s="10" t="str">
        <x:v>Chưa đánh giá</x:v>
      </x:c>
      <x:c r="F11" s="10" t="str">
        <x:v>Không mặc định mọi public cloud đều là cấp 4; cấp độ do tiêu chí NĐ 331 và đánh giá rủi ro quyết định.</x:v>
      </x:c>
      <x:c r="G11" s="10" t="str">
        <x:v>Service catalog; hồ sơ phân loại dữ liệu; danh mục tenant trọng yếu</x:v>
      </x:c>
      <x:c r="H11" s="10" t="str">
        <x:v>GRC/Cloud Ops</x:v>
      </x:c>
      <x:c r="I11" s="10" t="str">
        <x:v>P0</x:v>
      </x:c>
      <x:c r="J11" s="10" t="str">
        <x:v>NĐ 331 Điều 6-15</x:v>
      </x:c>
    </x:row>
    <x:row r="12" ht="76" customHeight="1">
      <x:c r="A12" s="11" t="str">
        <x:v>C4-GOV-04</x:v>
      </x:c>
      <x:c r="B12" s="11" t="str">
        <x:v>Pháp lý và hồ sơ cấp độ</x:v>
      </x:c>
      <x:c r="C12" s="11" t="str">
        <x:v>Hồ sơ đề xuất cấp độ</x:v>
      </x:c>
      <x:c r="D12" s="11" t="str">
        <x:v>Triển khai theo tiêu chí: Hồ sơ gồm thuyết minh tổng quan, thiết kế, căn cứ đề xuất cấp độ và phương án bảo đảm an ninh mạng; dùng đúng biểu mẫu và kiểm soát phiên bản. Phương án phải được cấu hình, kiểm thử và gắn owner; không dùng thiết kế/tuyên bố thay bằng chứng vận hành.</x:v>
      </x:c>
      <x:c r="E12" s="11" t="str">
        <x:v>Chưa đánh giá</x:v>
      </x:c>
      <x:c r="F12" s="11" t="str">
        <x:v>Chuẩn bị bằng chứng as-designed và kế hoạch cập nhật as-built.</x:v>
      </x:c>
      <x:c r="G12" s="11" t="str">
        <x:v>Bộ hồ sơ ký số/ký duyệt; danh mục Mẫu 01-08; lịch sử phiên bản</x:v>
      </x:c>
      <x:c r="H12" s="11" t="str">
        <x:v>GRC/PMO</x:v>
      </x:c>
      <x:c r="I12" s="11" t="str">
        <x:v>P0</x:v>
      </x:c>
      <x:c r="J12" s="11" t="str">
        <x:v>NĐ 331 Điều 19-22 và Phụ lục</x:v>
      </x:c>
    </x:row>
    <x:row r="13" ht="76" customHeight="1">
      <x:c r="A13" s="10" t="str">
        <x:v>C4-GOV-05</x:v>
      </x:c>
      <x:c r="B13" s="10" t="str">
        <x:v>Pháp lý và hồ sơ cấp độ</x:v>
      </x:c>
      <x:c r="C13" s="10" t="str">
        <x:v>Tích hợp yêu cầu vào hồ sơ đầu tư</x:v>
      </x:c>
      <x:c r="D13" s="10" t="str">
        <x:v>Triển khai theo tiêu chí: Phương án kỹ thuật trong báo cáo kinh tế-kỹ thuật, thiết kế cơ sở, kế hoạch thuê hoặc đề cương dự toán phải thể hiện biện pháp theo cấp độ đề xuất. Phương án phải được cấu hình, kiểm thử và gắn owner; không dùng thiết kế/tuyên bố thay bằng chứng vận hành.</x:v>
      </x:c>
      <x:c r="E13" s="10" t="str">
        <x:v>Đang thực hiện</x:v>
      </x:c>
      <x:c r="F13" s="10" t="str">
        <x:v>Phương án V2 đã liên kết vai trò máy chủ, card mạng, VLAN và vật tư; còn thiếu ma trận truy vết NĐ 331/TCVN 14423 và phê duyệt đầu tư.</x:v>
      </x:c>
      <x:c r="G13" s="10" t="str">
        <x:v>Ma trận yêu cầu - hạng mục đầu tư - bản vẽ - tiêu chí nghiệm thu</x:v>
      </x:c>
      <x:c r="H13" s="10" t="str">
        <x:v>PMO/Kiến trúc</x:v>
      </x:c>
      <x:c r="I13" s="10" t="str">
        <x:v>P0</x:v>
      </x:c>
      <x:c r="J13" s="10" t="str">
        <x:v>NĐ 331 Điều 19, 21, 37</x:v>
      </x:c>
    </x:row>
    <x:row r="14" ht="76" customHeight="1">
      <x:c r="A14" s="11" t="str">
        <x:v>C4-GOV-06</x:v>
      </x:c>
      <x:c r="B14" s="11" t="str">
        <x:v>Pháp lý và hồ sơ cấp độ</x:v>
      </x:c>
      <x:c r="C14" s="11" t="str">
        <x:v>Thẩm định/phê duyệt cấp 4</x:v>
      </x:c>
      <x:c r="D14" s="11" t="str">
        <x:v>Triển khai theo tiêu chí: Xin ý kiến chuyên môn; Bộ Công an chủ trì thẩm định (trừ thẩm quyền chuyên ngành); chủ quản phê duyệt. Dự trù tối đa 25 ngày làm việc thẩm định và 07 ngày phê duyệt. Phương án phải được cấu hình, kiểm thử và gắn owner; không dùng thiết kế/tuyên bố thay bằng chứng vận hành.</x:v>
      </x:c>
      <x:c r="E14" s="11" t="str">
        <x:v>Chưa đánh giá</x:v>
      </x:c>
      <x:c r="F14" s="11" t="str">
        <x:v>Cần lập đánh giá rủi ro chi tiết làm căn cứ và xin ý kiến chuyên môn.</x:v>
      </x:c>
      <x:c r="G14" s="11" t="str">
        <x:v>Văn bản gửi/tiếp nhận; ý kiến thẩm định; quyết định phê duyệt</x:v>
      </x:c>
      <x:c r="H14" s="11" t="str">
        <x:v>GRC/Pháp chế</x:v>
      </x:c>
      <x:c r="I14" s="11" t="str">
        <x:v>P0</x:v>
      </x:c>
      <x:c r="J14" s="11" t="str">
        <x:v>NĐ 331 Điều 18, 20, 22-25</x:v>
      </x:c>
    </x:row>
    <x:row r="15" ht="76" customHeight="1">
      <x:c r="A15" s="10" t="str">
        <x:v>C4-GOV-07</x:v>
      </x:c>
      <x:c r="B15" s="10" t="str">
        <x:v>Pháp lý và hồ sơ cấp độ</x:v>
      </x:c>
      <x:c r="C15" s="10" t="str">
        <x:v>Trường hợp thuộc danh mục quan trọng</x:v>
      </x:c>
      <x:c r="D15" s="10" t="str">
        <x:v>Triển khai theo tiêu chí: Nếu hệ thống cấp 3/4 đồng thời đủ tiêu chí hệ thống thông tin quan trọng về an ninh quốc gia, thực hiện trình tự như cấp 5 và áp dụng yêu cầu tương ứng. Phương án phải được cấu hình, kiểm thử và gắn owner; không dùng thiết kế/tuyên bố thay bằng chứng vận hành.</x:v>
      </x:c>
      <x:c r="E15" s="10" t="str">
        <x:v>Chưa đánh giá</x:v>
      </x:c>
      <x:c r="F15" s="10" t="str">
        <x:v>Không dùng checklist cấp 3/4 này để thay checklist cấp 5.</x:v>
      </x:c>
      <x:c r="G15" s="10" t="str">
        <x:v>Biên bản rà soát tiêu chí; ý kiến cơ quan chuyên trách</x:v>
      </x:c>
      <x:c r="H15" s="10" t="str">
        <x:v>GRC/Pháp chế</x:v>
      </x:c>
      <x:c r="I15" s="10" t="str">
        <x:v>P0</x:v>
      </x:c>
      <x:c r="J15" s="10" t="str">
        <x:v>NĐ 331 Điều 16-20</x:v>
      </x:c>
    </x:row>
    <x:row r="16" ht="74" customHeight="1">
      <x:c r="A16" s="11" t="str">
        <x:v>C4-GOV-08</x:v>
      </x:c>
      <x:c r="B16" s="11" t="str">
        <x:v>Pháp lý và hồ sơ cấp độ</x:v>
      </x:c>
      <x:c r="C16" s="11" t="str">
        <x:v>Phân tách khi thuê DC/cloud</x:v>
      </x:c>
      <x:c r="D16" s="11" t="str">
        <x:v>Triển khai theo tiêu chí: Hệ thống tách lô-gic với hệ thống khác; các vùng mạng tách lô-gic và kiểm soát truy cập; phân vùng lưu trữ tách lô-gic. Phương án phải được cấu hình, kiểm thử và gắn owner; không dùng thiết kế/tuyên bố thay bằng chứng vận hành.</x:v>
      </x:c>
      <x:c r="E16" s="11" t="str">
        <x:v>Chưa đánh giá</x:v>
      </x:c>
      <x:c r="F16" s="11" t="str">
        <x:v>NĐ 331 áp dụng cùng yêu cầu lô-gic cho cấp 3 và 4; phân tách vật lý là yêu cầu cấp 5/hệ thống quan trọng.</x:v>
      </x:c>
      <x:c r="G16" s="11" t="str">
        <x:v>Sơ đồ L3/VRF/VLAN/VXLAN; ACL/firewall; tenant/storage isolation test</x:v>
      </x:c>
      <x:c r="H16" s="11" t="str">
        <x:v>Kiến trúc/NetOps</x:v>
      </x:c>
      <x:c r="I16" s="11" t="str">
        <x:v>P0</x:v>
      </x:c>
      <x:c r="J16" s="11" t="str">
        <x:v>NĐ 331 Điều 30</x:v>
      </x:c>
    </x:row>
    <x:row r="17" ht="76" customHeight="1">
      <x:c r="A17" s="10" t="str">
        <x:v>C4-GOV-09</x:v>
      </x:c>
      <x:c r="B17" s="10" t="str">
        <x:v>Pháp lý và hồ sơ cấp độ</x:v>
      </x:c>
      <x:c r="C17" s="10" t="str">
        <x:v>Quản lý chuyển tiếp TT 12/NĐ 85</x:v>
      </x:c>
      <x:c r="D17" s="10" t="str">
        <x:v>Triển khai theo tiêu chí: Chỉ dùng bộ hồ sơ cũ cho dự án đang đầu tư/xây dựng trước 01/07/2026 trong thời hạn chuyển tiếp; mọi hệ thống phải đạt điều kiện NĐ 331 trong 12 tháng từ 01/07/2026. Phương án phải được cấu hình, kiểm thử và gắn owner; không dùng thiết kế/tuyên bố thay bằng chứng vận hành.</x:v>
      </x:c>
      <x:c r="E17" s="10" t="str">
        <x:v>Chưa đánh giá</x:v>
      </x:c>
      <x:c r="F17" s="10" t="str">
        <x:v>TT 12/2022 là nguồn di sản, không phải căn cứ chính cho kiến trúc mới.</x:v>
      </x:c>
      <x:c r="G17" s="10" t="str">
        <x:v>Biên bản xác định diện chuyển tiếp; kế hoạch đóng khoảng trống</x:v>
      </x:c>
      <x:c r="H17" s="10" t="str">
        <x:v>GRC/Pháp chế</x:v>
      </x:c>
      <x:c r="I17" s="10" t="str">
        <x:v>P0</x:v>
      </x:c>
      <x:c r="J17" s="10" t="str">
        <x:v>NĐ 331 Điều 39</x:v>
      </x:c>
    </x:row>
    <x:row r="18" ht="76" customHeight="1">
      <x:c r="A18" s="11" t="str">
        <x:v>C4-GOV-10</x:v>
      </x:c>
      <x:c r="B18" s="11" t="str">
        <x:v>Pháp lý và hồ sơ cấp độ</x:v>
      </x:c>
      <x:c r="C18" s="11" t="str">
        <x:v>Duy trì hồ sơ as-built</x:v>
      </x:c>
      <x:c r="D18" s="11" t="str">
        <x:v>Triển khai theo tiêu chí: Cập nhật hồ sơ cấp độ, sơ đồ, danh mục tài sản và phương án khi mở rộng/nâng cấp hoặc thay đổi làm ảnh hưởng biện pháp bảo vệ. Phương án phải được cấu hình, kiểm thử và gắn owner; không dùng thiết kế/tuyên bố thay bằng chứng vận hành.</x:v>
      </x:c>
      <x:c r="E18" s="11" t="str">
        <x:v>Không đạt</x:v>
      </x:c>
      <x:c r="F18" s="11" t="str">
        <x:v>Bundle vẫn 07 node và LVM/no-Ceph. Thiết kế mục tiêu đã đổi từ 14 node sang 09 server: 03 Controller, 03 Compute, 03 Ceph SSD, 01 SAN. Cần inventory, port map, vai trò Network đồng vị trí, cấu hình và as-built được duyệt; chưa có nghiệm thu.</x:v>
      </x:c>
      <x:c r="G18" s="11" t="str">
        <x:v>As-built; biên bản change review; quyết định cập nhật cấp độ nếu cần</x:v>
      </x:c>
      <x:c r="H18" s="11" t="str">
        <x:v>PMO/GRC</x:v>
      </x:c>
      <x:c r="I18" s="11" t="str">
        <x:v>P0</x:v>
      </x:c>
      <x:c r="J18" s="11" t="str">
        <x:v>NĐ 331 Điều 19-21, 31-33</x:v>
      </x:c>
    </x:row>
    <x:row r="19" ht="76" customHeight="1">
      <x:c r="A19" s="10" t="str">
        <x:v>C4-LEG-01</x:v>
      </x:c>
      <x:c r="B19" s="10" t="str">
        <x:v>Điều kiện cung cấp dịch vụ</x:v>
      </x:c>
      <x:c r="C19" s="10" t="str">
        <x:v>Thông báo/đăng ký dịch vụ DC và cloud</x:v>
      </x:c>
      <x:c r="D19" s="10" t="str">
        <x:v>Triển khai theo tiêu chí: Hoàn tất thủ tục áp dụng theo Luật Viễn thông và NĐ 163 trước khi cung cấp; lưu biên nhận, thông tin công bố và cập nhật khi thay đổi. Phương án phải được cấu hình, kiểm thử và gắn owner; không dùng thiết kế/tuyên bố thay bằng chứng vận hành.</x:v>
      </x:c>
      <x:c r="E19" s="10" t="str">
        <x:v>Chưa đánh giá</x:v>
      </x:c>
      <x:c r="F19" s="10" t="str">
        <x:v>Chốt chính xác hình thức thủ tục theo mô hình pháp nhân và dịch vụ tại thời điểm nộp.</x:v>
      </x:c>
      <x:c r="G19" s="10" t="str">
        <x:v>Hồ sơ gửi cơ quan quản lý; biên nhận; thông tin doanh nghiệp/dịch vụ công khai</x:v>
      </x:c>
      <x:c r="H19" s="10" t="str">
        <x:v>Pháp chế</x:v>
      </x:c>
      <x:c r="I19" s="10" t="str">
        <x:v>P0</x:v>
      </x:c>
      <x:c r="J19" s="10" t="str">
        <x:v>Luật VT Điều 29, 41; NĐ 163</x:v>
      </x:c>
    </x:row>
    <x:row r="20" ht="74" customHeight="1">
      <x:c r="A20" s="11" t="str">
        <x:v>C4-LEG-02</x:v>
      </x:c>
      <x:c r="B20" s="11" t="str">
        <x:v>Điều kiện cung cấp dịch vụ</x:v>
      </x:c>
      <x:c r="C20" s="11" t="str">
        <x:v>Công bố chất lượng và SLA</x:v>
      </x:c>
      <x:c r="D20" s="11" t="str">
        <x:v>Triển khai theo tiêu chí: Công khai chất lượng dịch vụ; định nghĩa cách đo availability, maintenance, credit, RPO/RTO, hỗ trợ, thông báo sự cố và loại trừ. Phương án phải được cấu hình, kiểm thử và gắn owner; không dùng thiết kế/tuyên bố thay bằng chứng vận hành.</x:v>
      </x:c>
      <x:c r="E20" s="11" t="str">
        <x:v>Chưa đánh giá</x:v>
      </x:c>
      <x:c r="F20" s="11" t="str">
        <x:v>SLA phải đo được riêng control plane và data plane; không dùng số marketing không có log nguồn.</x:v>
      </x:c>
      <x:c r="G20" s="11" t="str">
        <x:v>SLA; SLO/SLI; dashboard; báo cáo tháng; chính sách credit</x:v>
      </x:c>
      <x:c r="H20" s="11" t="str">
        <x:v>Product/Legal/SRE</x:v>
      </x:c>
      <x:c r="I20" s="11" t="str">
        <x:v>P0</x:v>
      </x:c>
      <x:c r="J20" s="11" t="str">
        <x:v>Luật VT Điều 29; dự thảo mục 4.2.8, Phụ lục Đ</x:v>
      </x:c>
    </x:row>
    <x:row r="21" ht="76" customHeight="1">
      <x:c r="A21" s="10" t="str">
        <x:v>C4-LEG-03</x:v>
      </x:c>
      <x:c r="B21" s="10" t="str">
        <x:v>Điều kiện cung cấp dịch vụ</x:v>
      </x:c>
      <x:c r="C21" s="10" t="str">
        <x:v>Bảo mật dữ liệu khách hàng</x:v>
      </x:c>
      <x:c r="D21" s="10" t="str">
        <x:v>Triển khai theo tiêu chí: Không truy cập, khai thác hoặc sử dụng dữ liệu khách hàng nếu không có căn cứ/đồng ý; thiết lập cơ chế truy cập hỗ trợ có phê duyệt, thời hạn và log. Phương án phải được cấu hình, kiểm thử và gắn owner; không dùng thiết kế/tuyên bố thay bằng chứng vận hành.</x:v>
      </x:c>
      <x:c r="E21" s="10" t="str">
        <x:v>Chưa đánh giá</x:v>
      </x:c>
      <x:c r="F21" s="10" t="str">
        <x:v>Ưu tiên mô hình khách hàng kiểm soát khóa cho workload nhạy cảm.</x:v>
      </x:c>
      <x:c r="G21" s="10" t="str">
        <x:v>Điều khoản dịch vụ; DPA; PAM/JIT logs; báo cáo truy cập hỗ trợ</x:v>
      </x:c>
      <x:c r="H21" s="10" t="str">
        <x:v>Legal/Security</x:v>
      </x:c>
      <x:c r="I21" s="10" t="str">
        <x:v>P0</x:v>
      </x:c>
      <x:c r="J21" s="10" t="str">
        <x:v>Luật VT Điều 29; Luật PDP</x:v>
      </x:c>
    </x:row>
    <x:row r="22" ht="76" customHeight="1">
      <x:c r="A22" s="11" t="str">
        <x:v>C4-LEG-04</x:v>
      </x:c>
      <x:c r="B22" s="11" t="str">
        <x:v>Điều kiện cung cấp dịch vụ</x:v>
      </x:c>
      <x:c r="C22" s="11" t="str">
        <x:v>Mô hình trách nhiệm chung</x:v>
      </x:c>
      <x:c r="D22" s="11" t="str">
        <x:v>Triển khai theo tiêu chí: Công bố rõ trách nhiệm nhà cung cấp/khách hàng cho IAM, guest OS, network, encryption, backup, logging, incident, data exit và xóa dữ liệu. Phương án phải được cấu hình, kiểm thử và gắn owner; không dùng thiết kế/tuyên bố thay bằng chứng vận hành.</x:v>
      </x:c>
      <x:c r="E22" s="11" t="str">
        <x:v>Chưa đánh giá</x:v>
      </x:c>
      <x:c r="F22" s="11" t="str">
        <x:v>Dự thảo TCVN Cloud yêu cầu biểu mẫu nhưng chưa có hiệu lực; vẫn là thực hành cần thiết cho public cloud.</x:v>
      </x:c>
      <x:c r="G22" s="11" t="str">
        <x:v>Ma trận trách nhiệm; service description; hợp đồng mẫu</x:v>
      </x:c>
      <x:c r="H22" s="11" t="str">
        <x:v>Product/GRC</x:v>
      </x:c>
      <x:c r="I22" s="11" t="str">
        <x:v>P0</x:v>
      </x:c>
      <x:c r="J22" s="11" t="str">
        <x:v>Hợp đồng; dự thảo Phụ lục G</x:v>
      </x:c>
    </x:row>
    <x:row r="23" ht="76" customHeight="1">
      <x:c r="A23" s="10" t="str">
        <x:v>C4-LEG-05</x:v>
      </x:c>
      <x:c r="B23" s="10" t="str">
        <x:v>Điều kiện cung cấp dịch vụ</x:v>
      </x:c>
      <x:c r="C23" s="10" t="str">
        <x:v>Quy trình yêu cầu hợp pháp/takedown</x:v>
      </x:c>
      <x:c r="D23" s="10" t="str">
        <x:v>Triển khai theo tiêu chí: Có đầu mối 24/7, xác minh thẩm quyền, bảo toàn chứng cứ, ngăn chặn/tạm ngừng đúng phạm vi, ghi log và báo cáo; kiểm soát mốc 24 giờ hoặc 06 giờ khi quy định áp dụng. Phương án phải được cấu hình, kiểm thử và gắn owner; không dùng thiết kế/tuyên bố thay bằng chứng vận hành.</x:v>
      </x:c>
      <x:c r="E23" s="10" t="str">
        <x:v>Chưa đánh giá</x:v>
      </x:c>
      <x:c r="F23" s="10" t="str">
        <x:v>NĐ 333 nêu trực tiếp doanh nghiệp hosting/DC và các doanh nghiệp dịch vụ liên quan; pháp chế xác nhận phạm vi cho từng sản phẩm cloud.</x:v>
      </x:c>
      <x:c r="G23" s="10" t="str">
        <x:v>SOP; danh sách đầu mối; mẫu phiếu; nhật ký quyết định; diễn tập</x:v>
      </x:c>
      <x:c r="H23" s="10" t="str">
        <x:v>Legal/SOC/NOC</x:v>
      </x:c>
      <x:c r="I23" s="10" t="str">
        <x:v>P0</x:v>
      </x:c>
      <x:c r="J23" s="10" t="str">
        <x:v>NĐ 333</x:v>
      </x:c>
    </x:row>
    <x:row r="24" ht="76" customHeight="1">
      <x:c r="A24" s="11" t="str">
        <x:v>C4-LEG-06</x:v>
      </x:c>
      <x:c r="B24" s="11" t="str">
        <x:v>Bảo vệ dữ liệu cá nhân</x:v>
      </x:c>
      <x:c r="C24" s="11" t="str">
        <x:v>Xác định vai trò xử lý dữ liệu</x:v>
      </x:c>
      <x:c r="D24" s="11" t="str">
        <x:v>Triển khai theo tiêu chí: Lập bản đồ vai trò bên kiểm soát, bên xử lý hoặc đồng kiểm soát cho billing, IAM, support, telemetry và dữ liệu workload; ký DPA phù hợp. Phương án phải được cấu hình, kiểm thử và gắn owner; không dùng thiết kế/tuyên bố thay bằng chứng vận hành.</x:v>
      </x:c>
      <x:c r="E24" s="11" t="str">
        <x:v>Chưa đánh giá</x:v>
      </x:c>
      <x:c r="F24" s="11" t="str">
        <x:v>Vai trò có thể khác nhau theo từng luồng dữ liệu, không gán một vai trò cho toàn bộ dịch vụ.</x:v>
      </x:c>
      <x:c r="G24" s="11" t="str">
        <x:v>Data map; ROPA; DPA; điều khoản subprocessor</x:v>
      </x:c>
      <x:c r="H24" s="11" t="str">
        <x:v>DPO/Legal</x:v>
      </x:c>
      <x:c r="I24" s="11" t="str">
        <x:v>P0</x:v>
      </x:c>
      <x:c r="J24" s="11" t="str">
        <x:v>Luật 91/2025; NĐ 356/2025</x:v>
      </x:c>
    </x:row>
    <x:row r="25" ht="76" customHeight="1">
      <x:c r="A25" s="10" t="str">
        <x:v>C4-LEG-07</x:v>
      </x:c>
      <x:c r="B25" s="10" t="str">
        <x:v>Bảo vệ dữ liệu cá nhân</x:v>
      </x:c>
      <x:c r="C25" s="10" t="str">
        <x:v>Đánh giá tác động và chuyển dữ liệu</x:v>
      </x:c>
      <x:c r="D25" s="10" t="str">
        <x:v>Triển khai theo tiêu chí: Thực hiện hồ sơ đánh giá tác động xử lý và đánh giá chuyển dữ liệu ra nước ngoài khi phát sinh; quản lý vị trí lưu trữ, subprocessor và sao lưu. Phương án phải được cấu hình, kiểm thử và gắn owner; không dùng thiết kế/tuyên bố thay bằng chứng vận hành.</x:v>
      </x:c>
      <x:c r="E25" s="10" t="str">
        <x:v>Chưa đánh giá</x:v>
      </x:c>
      <x:c r="F25" s="10" t="str">
        <x:v>Bao gồm log hỗ trợ, telemetry và bản sao lưu ngoài lãnh thổ.</x:v>
      </x:c>
      <x:c r="G25" s="10" t="str">
        <x:v>DPIA/DTIA; data residency matrix; hồ sơ nộp/điều chỉnh; hợp đồng</x:v>
      </x:c>
      <x:c r="H25" s="10" t="str">
        <x:v>DPO/Legal</x:v>
      </x:c>
      <x:c r="I25" s="10" t="str">
        <x:v>P0</x:v>
      </x:c>
      <x:c r="J25" s="10" t="str">
        <x:v>Luật 91/2025; NĐ 356/2025</x:v>
      </x:c>
    </x:row>
    <x:row r="26" ht="76" customHeight="1">
      <x:c r="A26" s="11" t="str">
        <x:v>C4-LEG-08</x:v>
      </x:c>
      <x:c r="B26" s="11" t="str">
        <x:v>Bảo vệ dữ liệu cá nhân</x:v>
      </x:c>
      <x:c r="C26" s="11" t="str">
        <x:v>Quyền chủ thể, lưu giữ và xóa</x:v>
      </x:c>
      <x:c r="D26" s="11" t="str">
        <x:v>Triển khai theo tiêu chí: Có kênh tiếp nhận, xác minh và xử lý yêu cầu; thời hạn lưu giữ theo mục đích; xóa/ẩn danh trên primary, replica, snapshot và backup theo chính sách. Phương án phải được cấu hình, kiểm thử và gắn owner; không dùng thiết kế/tuyên bố thay bằng chứng vận hành.</x:v>
      </x:c>
      <x:c r="E26" s="11" t="str">
        <x:v>Chưa đánh giá</x:v>
      </x:c>
      <x:c r="F26" s="11" t="str">
        <x:v>Nêu rõ giới hạn xóa tức thời đối với backup bất biến và chu kỳ hết hạn.</x:v>
      </x:c>
      <x:c r="G26" s="11" t="str">
        <x:v>DSR workflow; retention schedule; deletion certificate; test khôi phục/xóa</x:v>
      </x:c>
      <x:c r="H26" s="11" t="str">
        <x:v>DPO/Product/Ops</x:v>
      </x:c>
      <x:c r="I26" s="11" t="str">
        <x:v>P0</x:v>
      </x:c>
      <x:c r="J26" s="11" t="str">
        <x:v>Luật 91/2025; NĐ 356/2025</x:v>
      </x:c>
    </x:row>
    <x:row r="27" ht="76" customHeight="1">
      <x:c r="A27" s="10" t="str">
        <x:v>C4-LEG-09</x:v>
      </x:c>
      <x:c r="B27" s="10" t="str">
        <x:v>Bảo vệ dữ liệu cá nhân</x:v>
      </x:c>
      <x:c r="C27" s="10" t="str">
        <x:v>Ứng phó vi phạm dữ liệu</x:v>
      </x:c>
      <x:c r="D27" s="10" t="str">
        <x:v>Triển khai theo tiêu chí: Tích hợp phân loại sự cố dữ liệu cá nhân, đánh giá phạm vi, bảo toàn chứng cứ, thông báo và phối hợp khách hàng/cơ quan có thẩm quyền. Phương án phải được cấu hình, kiểm thử và gắn owner; không dùng thiết kế/tuyên bố thay bằng chứng vận hành.</x:v>
      </x:c>
      <x:c r="E27" s="10" t="str">
        <x:v>Chưa đánh giá</x:v>
      </x:c>
      <x:c r="F27" s="10" t="str">
        <x:v>Cam kết hợp đồng phải cho phép khách hàng đáp ứng thời hạn pháp lý của họ.</x:v>
      </x:c>
      <x:c r="G27" s="10" t="str">
        <x:v>Playbook; mẫu thông báo; contact tree; nhật ký diễn tập</x:v>
      </x:c>
      <x:c r="H27" s="10" t="str">
        <x:v>DPO/SOC/Legal</x:v>
      </x:c>
      <x:c r="I27" s="10" t="str">
        <x:v>P0</x:v>
      </x:c>
      <x:c r="J27" s="10" t="str">
        <x:v>Luật 91/2025; NĐ 356/2025</x:v>
      </x:c>
    </x:row>
    <x:row r="28" ht="76" customHeight="1">
      <x:c r="A28" s="11" t="str">
        <x:v>C4-RM-01</x:v>
      </x:c>
      <x:c r="B28" s="11" t="str">
        <x:v>Quản lý rủi ro</x:v>
      </x:c>
      <x:c r="C28" s="11" t="str">
        <x:v>Quy định và quy trình quản lý rủi ro</x:v>
      </x:c>
      <x:c r="D28" s="11" t="str">
        <x:v>Triển khai theo tiêu chí: Ban hành quy trình nhận diện, đánh giá, xử lý, theo dõi và truyền thông rủi ro; rà soát ít nhất 06 tháng/lần và khi thay đổi đáng kể. Phương án phải được cấu hình, kiểm thử và gắn owner; không dùng thiết kế/tuyên bố thay bằng chứng vận hành.</x:v>
      </x:c>
      <x:c r="E28" s="11" t="str">
        <x:v>Chưa đánh giá</x:v>
      </x:c>
      <x:c r="F28" s="11" t="str">
        <x:v>Bao gồm rủi ro multi-tenant, insider, supply chain, DC, mất vùng và phụ thuộc control plane.</x:v>
      </x:c>
      <x:c r="G28" s="11" t="str">
        <x:v>Chính sách; risk methodology; lịch rà soát; biên bản phê duyệt</x:v>
      </x:c>
      <x:c r="H28" s="11" t="str">
        <x:v>CISO/GRC</x:v>
      </x:c>
      <x:c r="I28" s="11" t="str">
        <x:v>P0</x:v>
      </x:c>
      <x:c r="J28" s="11" t="str">
        <x:v>TCVN 14423:6.1</x:v>
      </x:c>
    </x:row>
    <x:row r="29" ht="74" customHeight="1">
      <x:c r="A29" s="10" t="str">
        <x:v>C4-RM-02</x:v>
      </x:c>
      <x:c r="B29" s="10" t="str">
        <x:v>Quản lý rủi ro</x:v>
      </x:c>
      <x:c r="C29" s="10" t="str">
        <x:v>Risk register và kế hoạch xử lý</x:v>
      </x:c>
      <x:c r="D29" s="10" t="str">
        <x:v>Triển khai theo tiêu chí: Mỗi rủi ro có tài sản, mối đe dọa, lỗ hổng, tác động, khả năng, chủ sở hữu, biện pháp, rủi ro còn lại và hạn hoàn thành. Phương án phải được cấu hình, kiểm thử và gắn owner; không dùng thiết kế/tuyên bố thay bằng chứng vận hành.</x:v>
      </x:c>
      <x:c r="E29" s="10" t="str">
        <x:v>Chưa đánh giá</x:v>
      </x:c>
      <x:c r="F29" s="10" t="str">
        <x:v>Không chấp nhận rủi ro P0/P1 bằng email không có thẩm quyền và ngày hết hạn.</x:v>
      </x:c>
      <x:c r="G29" s="10" t="str">
        <x:v>Risk register; treatment plan; acceptance sign-off</x:v>
      </x:c>
      <x:c r="H29" s="10" t="str">
        <x:v>CISO/GRC</x:v>
      </x:c>
      <x:c r="I29" s="10" t="str">
        <x:v>P0</x:v>
      </x:c>
      <x:c r="J29" s="10" t="str">
        <x:v>TCVN 14423:6.1.2</x:v>
      </x:c>
    </x:row>
    <x:row r="30" ht="76" customHeight="1">
      <x:c r="A30" s="11" t="str">
        <x:v>C4-RM-03</x:v>
      </x:c>
      <x:c r="B30" s="11" t="str">
        <x:v>Quản lý rủi ro</x:v>
      </x:c>
      <x:c r="C30" s="11" t="str">
        <x:v>Đánh giá thay đổi lớn</x:v>
      </x:c>
      <x:c r="D30" s="11" t="str">
        <x:v>Triển khai theo tiêu chí: Thực hiện threat modeling/risk review trước khi thêm dịch vụ, nâng cấp OpenStack, đổi backend storage, mở region/AZ hoặc thay mạng biên. Phương án phải được cấu hình, kiểm thử và gắn owner; không dùng thiết kế/tuyên bố thay bằng chứng vận hành.</x:v>
      </x:c>
      <x:c r="E30" s="11" t="str">
        <x:v>Chưa đánh giá</x:v>
      </x:c>
      <x:c r="F30" s="11" t="str">
        <x:v>Gắn quyết định triển khai với change ticket và kế hoạch rollback.</x:v>
      </x:c>
      <x:c r="G30" s="11" t="str">
        <x:v>Threat model; architecture decision record; security sign-off</x:v>
      </x:c>
      <x:c r="H30" s="11" t="str">
        <x:v>Architecture/Security</x:v>
      </x:c>
      <x:c r="I30" s="11" t="str">
        <x:v>P0</x:v>
      </x:c>
      <x:c r="J30" s="11" t="str">
        <x:v>TCVN 14423:6.1</x:v>
      </x:c>
    </x:row>
    <x:row r="31" ht="76" customHeight="1">
      <x:c r="A31" s="10" t="str">
        <x:v>C4-AST-01</x:v>
      </x:c>
      <x:c r="B31" s="10" t="str">
        <x:v>Tài sản phần cứng</x:v>
      </x:c>
      <x:c r="C31" s="10" t="str">
        <x:v>CMDB phần cứng</x:v>
      </x:c>
      <x:c r="D31" s="10" t="str">
        <x:v>Triển khai theo tiêu chí: Kiểm kê máy chủ, switch, firewall, storage, HSM, OOB, PDU và thiết bị DC; có owner, vị trí, serial, IP/MAC, vai trò, support/EOL và trạng thái. Phương án phải được cấu hình, kiểm thử và gắn owner; không dùng thiết kế/tuyên bố thay bằng chứng vận hành.</x:v>
      </x:c>
      <x:c r="E31" s="10" t="str">
        <x:v>Đang thực hiện</x:v>
      </x:c>
      <x:c r="F31" s="10" t="str">
        <x:v>BOM V4 liệt kê 09 server, 01 SAN, 02 Nexus, 02 FortiGate 500E, 01 switch SAN và 01 Access. Sheet định giá còn 10 server; thiếu serial/IP/MAC, model SAN/switch, vòng đời/support và đối soát asset vật tư.</x:v>
      </x:c>
      <x:c r="G31" s="10" t="str">
        <x:v>CMDB export; đối soát rack; biên bản kiểm kê năm</x:v>
      </x:c>
      <x:c r="H31" s="10" t="str">
        <x:v>ITAM/DC Ops</x:v>
      </x:c>
      <x:c r="I31" s="10" t="str">
        <x:v>P0</x:v>
      </x:c>
      <x:c r="J31" s="10" t="str">
        <x:v>TCVN 14423:6.2.2.1</x:v>
      </x:c>
    </x:row>
    <x:row r="32" ht="74" customHeight="1">
      <x:c r="A32" s="11" t="str">
        <x:v>C4-AST-02</x:v>
      </x:c>
      <x:c r="B32" s="11" t="str">
        <x:v>Tài sản phần cứng</x:v>
      </x:c>
      <x:c r="C32" s="11" t="str">
        <x:v>Phát hiện tài sản chưa quản lý</x:v>
      </x:c>
      <x:c r="D32" s="11" t="str">
        <x:v>Triển khai theo tiêu chí: Quét/phát hiện kết nối trái phép tối thiểu 01 lần/quý; cô lập, điều tra và cập nhật CMDB. Phương án phải được cấu hình, kiểm thử và gắn owner; không dùng thiết kế/tuyên bố thay bằng chứng vận hành.</x:v>
      </x:c>
      <x:c r="E32" s="11" t="str">
        <x:v>Chưa đánh giá</x:v>
      </x:c>
      <x:c r="F32" s="11" t="str">
        <x:v>Dùng DHCP logging và đối soát IPAM/MAC/LLDP; quản lý cả BMC/iDRAC.</x:v>
      </x:c>
      <x:c r="G32" s="11" t="str">
        <x:v>NAC/NDR logs; scan report; incident/change ticket</x:v>
      </x:c>
      <x:c r="H32" s="11" t="str">
        <x:v>NetOps/SOC</x:v>
      </x:c>
      <x:c r="I32" s="11" t="str">
        <x:v>P1</x:v>
      </x:c>
      <x:c r="J32" s="11" t="str">
        <x:v>TCVN 14423:6.2.2.2-6.2.2.4</x:v>
      </x:c>
    </x:row>
    <x:row r="33" ht="76" customHeight="1">
      <x:c r="A33" s="10" t="str">
        <x:v>C4-AST-03</x:v>
      </x:c>
      <x:c r="B33" s="10" t="str">
        <x:v>Tài sản phần cứng</x:v>
      </x:c>
      <x:c r="C33" s="10" t="str">
        <x:v>Vòng đời và hỗ trợ</x:v>
      </x:c>
      <x:c r="D33" s="10" t="str">
        <x:v>Triển khai theo tiêu chí: Không đưa thiết bị hết hỗ trợ vào dịch vụ trọng yếu nếu thiếu chấp thuận rủi ro, firmware còn vá, vật tư thay thế và kế hoạch thay thế có hạn. Phương án phải được cấu hình, kiểm thử và gắn owner; không dùng thiết kế/tuyên bố thay bằng chứng vận hành.</x:v>
      </x:c>
      <x:c r="E33" s="10" t="str">
        <x:v>Cần xác minh</x:v>
      </x:c>
      <x:c r="F33" s="10" t="str">
        <x:v>Máy chủ Dell R630 và FortiGate 500E cần bằng chứng EOL/EOS, hỗ trợ phần cứng/firmware, license/subscription, phụ tùng và kế hoạch thay thế; không suy ra còn support từ việc có thiết bị trong BOM.</x:v>
      </x:c>
      <x:c r="G33" s="10" t="str">
        <x:v>EOL/EOS matrix; support contract; spares list; refresh plan</x:v>
      </x:c>
      <x:c r="H33" s="10" t="str">
        <x:v>ITAM/Procurement</x:v>
      </x:c>
      <x:c r="I33" s="10" t="str">
        <x:v>P0</x:v>
      </x:c>
      <x:c r="J33" s="10" t="str">
        <x:v>TCVN 14423:6.2; quản lý rủi ro</x:v>
      </x:c>
    </x:row>
    <x:row r="34" ht="74" customHeight="1">
      <x:c r="A34" s="11" t="str">
        <x:v>C4-AST-04</x:v>
      </x:c>
      <x:c r="B34" s="11" t="str">
        <x:v>Tài sản phần cứng</x:v>
      </x:c>
      <x:c r="C34" s="11" t="str">
        <x:v>Thanh lý/chuyển giao an toàn</x:v>
      </x:c>
      <x:c r="D34" s="11" t="str">
        <x:v>Triển khai theo tiêu chí: Phê duyệt chuyển giao; xóa an toàn, hủy khóa, xóa cấu hình, cập nhật CMDB và lưu biên bản chuỗi bàn giao. Phương án phải được cấu hình, kiểm thử và gắn owner; không dùng thiết kế/tuyên bố thay bằng chứng vận hành.</x:v>
      </x:c>
      <x:c r="E34" s="11" t="str">
        <x:v>Chưa đánh giá</x:v>
      </x:c>
      <x:c r="F34" s="11" t="str">
        <x:v>Đặc biệt với SSD, ổ Cinder, cache, BMC và thiết bị mạng.</x:v>
      </x:c>
      <x:c r="G34" s="11" t="str">
        <x:v>Media sanitization record; chain of custody; CMDB change</x:v>
      </x:c>
      <x:c r="H34" s="11" t="str">
        <x:v>ITAM/Security</x:v>
      </x:c>
      <x:c r="I34" s="11" t="str">
        <x:v>P1</x:v>
      </x:c>
      <x:c r="J34" s="11" t="str">
        <x:v>TCVN 14423:6.2.2.3-6.2.2.5</x:v>
      </x:c>
    </x:row>
    <x:row r="35" ht="76" customHeight="1">
      <x:c r="A35" s="10" t="str">
        <x:v>C4-SW-01</x:v>
      </x:c>
      <x:c r="B35" s="10" t="str">
        <x:v>Tài sản phần mềm</x:v>
      </x:c>
      <x:c r="C35" s="10" t="str">
        <x:v>SBOM và danh mục phần mềm</x:v>
      </x:c>
      <x:c r="D35" s="10" t="str">
        <x:v>Triển khai theo tiêu chí: Kiểm kê OpenStack/Kolla, OS, container images, firmware, agent, portal và thư viện; có phiên bản, nguồn, license, owner, CPE và ngày hết hỗ trợ. Phương án phải được cấu hình, kiểm thử và gắn owner; không dùng thiết kế/tuyên bố thay bằng chứng vận hành.</x:v>
      </x:c>
      <x:c r="E35" s="10" t="str">
        <x:v>Chưa đánh giá</x:v>
      </x:c>
      <x:c r="F35" s="10" t="str">
        <x:v>Bao gồm Ansible collections và các gói offline trong bundle.</x:v>
      </x:c>
      <x:c r="G35" s="10" t="str">
        <x:v>SBOM; software CMDB; image manifest; license/support list</x:v>
      </x:c>
      <x:c r="H35" s="10" t="str">
        <x:v>Platform/SecOps</x:v>
      </x:c>
      <x:c r="I35" s="10" t="str">
        <x:v>P0</x:v>
      </x:c>
      <x:c r="J35" s="10" t="str">
        <x:v>TCVN 14423:6.3.2.1</x:v>
      </x:c>
    </x:row>
    <x:row r="36" ht="74" customHeight="1">
      <x:c r="A36" s="11" t="str">
        <x:v>C4-SW-02</x:v>
      </x:c>
      <x:c r="B36" s="11" t="str">
        <x:v>Tài sản phần mềm</x:v>
      </x:c>
      <x:c r="C36" s="11" t="str">
        <x:v>Danh sách cho phép</x:v>
      </x:c>
      <x:c r="D36" s="11" t="str">
        <x:v>Triển khai theo tiêu chí: Chỉ triển khai gói/image từ kho đã duyệt; khóa nguồn, digest và chữ ký; ngăn cài đặt trái phép. Phương án phải được cấu hình, kiểm thử và gắn owner; không dùng thiết kế/tuyên bố thay bằng chứng vận hành.</x:v>
      </x:c>
      <x:c r="E36" s="11" t="str">
        <x:v>Không đạt</x:v>
      </x:c>
      <x:c r="F36" s="11" t="str">
        <x:v>Registry hiện khai insecure=true. Báo cáo Trivy lab còn Critical có bản vá trong registry:3 và các image khác; cần TLS/trust, khóa digest/chữ ký, xử lý blocker và quét lại.</x:v>
      </x:c>
      <x:c r="G36" s="11" t="str">
        <x:v>Allowlist; registry policy; admission/deployment logs</x:v>
      </x:c>
      <x:c r="H36" s="11" t="str">
        <x:v>Platform/SecOps</x:v>
      </x:c>
      <x:c r="I36" s="11" t="str">
        <x:v>P0</x:v>
      </x:c>
      <x:c r="J36" s="11" t="str">
        <x:v>TCVN 14423:6.3.2.2-6.3.2.4</x:v>
      </x:c>
    </x:row>
    <x:row r="37" ht="74" customHeight="1">
      <x:c r="A37" s="10" t="str">
        <x:v>C4-SW-03</x:v>
      </x:c>
      <x:c r="B37" s="10" t="str">
        <x:v>Tài sản phần mềm</x:v>
      </x:c>
      <x:c r="C37" s="10" t="str">
        <x:v>Phần mềm còn hỗ trợ</x:v>
      </x:c>
      <x:c r="D37" s="10" t="str">
        <x:v>Triển khai theo tiêu chí: Bảo đảm toàn bộ phần mềm được phép sử dụng còn thời gian hỗ trợ; rà soát tối thiểu hàng năm và trước nâng cấp lớn. Phương án phải được cấu hình, kiểm thử và gắn owner; không dùng thiết kế/tuyên bố thay bằng chứng vận hành.</x:v>
      </x:c>
      <x:c r="E37" s="10" t="str">
        <x:v>Chưa đánh giá</x:v>
      </x:c>
      <x:c r="F37" s="10" t="str">
        <x:v>Đối chiếu phiên bản OpenStack/Kolla/Ubuntu và firmware thiết bị.</x:v>
      </x:c>
      <x:c r="G37" s="10" t="str">
        <x:v>Support matrix; vendor notice; upgrade roadmap</x:v>
      </x:c>
      <x:c r="H37" s="10" t="str">
        <x:v>Platform/ITAM</x:v>
      </x:c>
      <x:c r="I37" s="10" t="str">
        <x:v>P0</x:v>
      </x:c>
      <x:c r="J37" s="10" t="str">
        <x:v>TCVN 14423:6.3.2.3</x:v>
      </x:c>
    </x:row>
    <x:row r="38" ht="74" customHeight="1">
      <x:c r="A38" s="11" t="str">
        <x:v>C4-SW-04</x:v>
      </x:c>
      <x:c r="B38" s="11" t="str">
        <x:v>Tài sản phần mềm</x:v>
      </x:c>
      <x:c r="C38" s="11" t="str">
        <x:v>Đối soát bản dựng</x:v>
      </x:c>
      <x:c r="D38" s="11" t="str">
        <x:v>Triển khai theo tiêu chí: Tạo manifest bất biến của bundle, artifact và cấu hình; kiểm tra checksum trước cài; lưu provenance và kết quả build/release. Phương án phải được cấu hình, kiểm thử và gắn owner; không dùng thiết kế/tuyên bố thay bằng chứng vận hành.</x:v>
      </x:c>
      <x:c r="E38" s="11" t="str">
        <x:v>Đạt</x:v>
      </x:c>
      <x:c r="F38" s="11" t="str">
        <x:v>Checksum bundle đã khớp tệp .sha256; vẫn cần ký số và kiểm soát nguồn phát hành.</x:v>
      </x:c>
      <x:c r="G38" s="11" t="str">
        <x:v>SHA-256; signed manifest; release evidence; reproducible build report</x:v>
      </x:c>
      <x:c r="H38" s="11" t="str">
        <x:v>DevSecOps</x:v>
      </x:c>
      <x:c r="I38" s="11" t="str">
        <x:v>P1</x:v>
      </x:c>
      <x:c r="J38" s="11" t="str">
        <x:v>Dự thảo 4.2.13 và Phụ lục E</x:v>
      </x:c>
    </x:row>
    <x:row r="39" ht="76" customHeight="1">
      <x:c r="A39" s="10" t="str">
        <x:v>C4-SW-05</x:v>
      </x:c>
      <x:c r="B39" s="10" t="str">
        <x:v>Tài sản phần mềm</x:v>
      </x:c>
      <x:c r="C39" s="10" t="str">
        <x:v>Quét lỗ hổng image</x:v>
      </x:c>
      <x:c r="D39" s="10" t="str">
        <x:v>Triển khai theo tiêu chí: Quét image máy ảo/container trước publish và định kỳ; chặn mức nghiêm trọng theo policy; xử lý false positive có phê duyệt/hết hạn. Phương án phải được cấu hình, kiểm thử và gắn owner; không dùng thiết kế/tuyên bố thay bằng chứng vận hành.</x:v>
      </x:c>
      <x:c r="E39" s="10" t="str">
        <x:v>Đang thực hiện</x:v>
      </x:c>
      <x:c r="F39" s="10" t="str">
        <x:v>Báo cáo lab 02/09/2026 đã quét 38/38 image và đối chiếu đủ digest, nhưng release gate FAIL: 6 Critical có bản vá và 6 runtime SSH host private key. Chưa bao phủ host, DAST, pentest hoặc production.</x:v>
      </x:c>
      <x:c r="G39" s="10" t="str">
        <x:v>Scan report; registry gate; exception register; re-scan evidence</x:v>
      </x:c>
      <x:c r="H39" s="10" t="str">
        <x:v>DevSecOps/SecOps</x:v>
      </x:c>
      <x:c r="I39" s="10" t="str">
        <x:v>P0</x:v>
      </x:c>
      <x:c r="J39" s="10" t="str">
        <x:v>TCVN 14423:6.7; dự thảo 4.2.2.2.5</x:v>
      </x:c>
    </x:row>
    <x:row r="40" ht="76" customHeight="1">
      <x:c r="A40" s="11" t="str">
        <x:v>C4-DAT-01</x:v>
      </x:c>
      <x:c r="B40" s="11" t="str">
        <x:v>Quản lý dữ liệu</x:v>
      </x:c>
      <x:c r="C40" s="11" t="str">
        <x:v>Phân loại và chủ sở hữu dữ liệu</x:v>
      </x:c>
      <x:c r="D40" s="11" t="str">
        <x:v>Triển khai theo tiêu chí: Phân loại dữ liệu tenant, dữ liệu vận hành, log, backup, khóa và bí mật; gán owner, vị trí, luồng, thời hạn lưu giữ và phương pháp xóa. Phương án phải được cấu hình, kiểm thử và gắn owner; không dùng thiết kế/tuyên bố thay bằng chứng vận hành.</x:v>
      </x:c>
      <x:c r="E40" s="11" t="str">
        <x:v>Chưa đánh giá</x:v>
      </x:c>
      <x:c r="F40" s="11" t="str">
        <x:v>Tách dữ liệu khách hàng khỏi dữ liệu vận hành và dữ liệu hỗ trợ.</x:v>
      </x:c>
      <x:c r="G40" s="11" t="str">
        <x:v>Data inventory; classification; owner register; retention schedule</x:v>
      </x:c>
      <x:c r="H40" s="11" t="str">
        <x:v>DPO/Data Owner</x:v>
      </x:c>
      <x:c r="I40" s="11" t="str">
        <x:v>P0</x:v>
      </x:c>
      <x:c r="J40" s="11" t="str">
        <x:v>TCVN 14423:6.4.2.1-6.4.2.2</x:v>
      </x:c>
    </x:row>
    <x:row r="41" ht="74" customHeight="1">
      <x:c r="A41" s="10" t="str">
        <x:v>C4-DAT-02</x:v>
      </x:c>
      <x:c r="B41" s="10" t="str">
        <x:v>Quản lý dữ liệu</x:v>
      </x:c>
      <x:c r="C41" s="10" t="str">
        <x:v>Rà soát quyền dữ liệu</x:v>
      </x:c>
      <x:c r="D41" s="10" t="str">
        <x:v>Triển khai theo tiêu chí: Rà soát phân quyền dữ liệu tối thiểu 01 lần/quý; thu hồi quyền thừa và ghi nhận phê duyệt của owner. Phương án phải được cấu hình, kiểm thử và gắn owner; không dùng thiết kế/tuyên bố thay bằng chứng vận hành.</x:v>
      </x:c>
      <x:c r="E41" s="10" t="str">
        <x:v>Chưa đánh giá</x:v>
      </x:c>
      <x:c r="F41" s="10" t="str">
        <x:v>Bao gồm quyền đọc snapshot/volume/image và DB control plane.</x:v>
      </x:c>
      <x:c r="G41" s="10" t="str">
        <x:v>ACL export; review sign-off; revocation tickets</x:v>
      </x:c>
      <x:c r="H41" s="10" t="str">
        <x:v>Data Owner/IAM</x:v>
      </x:c>
      <x:c r="I41" s="10" t="str">
        <x:v>P0</x:v>
      </x:c>
      <x:c r="J41" s="10" t="str">
        <x:v>TCVN 14423:6.4.2.1-6.4.2.3</x:v>
      </x:c>
    </x:row>
    <x:row r="42" ht="76" customHeight="1">
      <x:c r="A42" s="11" t="str">
        <x:v>C4-DAT-03</x:v>
      </x:c>
      <x:c r="B42" s="11" t="str">
        <x:v>Quản lý dữ liệu</x:v>
      </x:c>
      <x:c r="C42" s="11" t="str">
        <x:v>Mã hóa dữ liệu quan trọng</x:v>
      </x:c>
      <x:c r="D42" s="11" t="str">
        <x:v>Triển khai theo tiêu chí: Mã hóa dữ liệu quan trọng khi lưu trữ và truyền; quản lý khóa tách biệt dữ liệu; luân chuyển, thu hồi và khôi phục khóa có kiểm soát. Phương án phải được cấu hình, kiểm thử và gắn owner; không dùng thiết kế/tuyên bố thay bằng chứng vận hành.</x:v>
      </x:c>
      <x:c r="E42" s="11" t="str">
        <x:v>Chưa đánh giá</x:v>
      </x:c>
      <x:c r="F42" s="11" t="str">
        <x:v>Mức 4 theo dự thảo yêu cầu HSM cho master key và không tắt mã hóa mặc định; hiện dùng làm thiết kế mục tiêu.</x:v>
      </x:c>
      <x:c r="G42" s="11" t="str">
        <x:v>Encryption config; KMS logs; key lifecycle; crypto inventory</x:v>
      </x:c>
      <x:c r="H42" s="11" t="str">
        <x:v>Security/Platform</x:v>
      </x:c>
      <x:c r="I42" s="11" t="str">
        <x:v>P0</x:v>
      </x:c>
      <x:c r="J42" s="11" t="str">
        <x:v>TCVN 14423:6.4.2.4; dự thảo 5.4</x:v>
      </x:c>
    </x:row>
    <x:row r="43" ht="76" customHeight="1">
      <x:c r="A43" s="10" t="str">
        <x:v>C4-DAT-04</x:v>
      </x:c>
      <x:c r="B43" s="10" t="str">
        <x:v>Quản lý dữ liệu</x:v>
      </x:c>
      <x:c r="C43" s="10" t="str">
        <x:v>Toàn vẹn và luồng dữ liệu</x:v>
      </x:c>
      <x:c r="D43" s="10" t="str">
        <x:v>Triển khai theo tiêu chí: Tài liệu hóa nguồn-đích, giao thức, trust boundary, dữ liệu nhạy cảm; xác minh toàn vẹn khi truyền/đồng bộ và dùng chữ ký số cho dữ liệu quan trọng khi phù hợp. Phương án phải được cấu hình, kiểm thử và gắn owner; không dùng thiết kế/tuyên bố thay bằng chứng vận hành.</x:v>
      </x:c>
      <x:c r="E43" s="10" t="str">
        <x:v>Chưa đánh giá</x:v>
      </x:c>
      <x:c r="F43" s="10" t="str">
        <x:v>Bao gồm replication, migration, backup và export khách hàng.</x:v>
      </x:c>
      <x:c r="G43" s="10" t="str">
        <x:v>DFD; API inventory; hash/signature logs; data lineage</x:v>
      </x:c>
      <x:c r="H43" s="10" t="str">
        <x:v>Architecture/Data</x:v>
      </x:c>
      <x:c r="I43" s="10" t="str">
        <x:v>P1</x:v>
      </x:c>
      <x:c r="J43" s="10" t="str">
        <x:v>TCVN 14423:6.4.2.5-6.4.2.10</x:v>
      </x:c>
    </x:row>
    <x:row r="44" ht="76" customHeight="1">
      <x:c r="A44" s="11" t="str">
        <x:v>C4-DAT-05</x:v>
      </x:c>
      <x:c r="B44" s="11" t="str">
        <x:v>Quản lý dữ liệu</x:v>
      </x:c>
      <x:c r="C44" s="11" t="str">
        <x:v>Tách biệt xử lý/lưu trữ</x:v>
      </x:c>
      <x:c r="D44" s="11" t="str">
        <x:v>Triển khai theo tiêu chí: Tách theo mức độ nhạy cảm; không dùng chung vùng quản trị/khóa/log cho dữ liệu có yêu cầu khác nếu làm suy giảm kiểm soát. Phương án phải được cấu hình, kiểm thử và gắn owner; không dùng thiết kế/tuyên bố thay bằng chứng vận hành.</x:v>
      </x:c>
      <x:c r="E44" s="11" t="str">
        <x:v>Đang thực hiện</x:v>
      </x:c>
      <x:c r="F44" s="11" t="str">
        <x:v>BOM V4 mục tiêu chỉ có 03 Ceph SSD và 01 SAN, không có cụm Ceph HDD. Đề xuất VLAN 30 client và 31 cluster; SAN có backend/fabric riêng cần chốt. Bundle vẫn LVM/no-Ceph; cần CRUSH/replication, ACL, phân tách dữ liệu theo mức nhạy cảm và kiểm thử isolation.</x:v>
      </x:c>
      <x:c r="G44" s="11" t="str">
        <x:v>Storage pool/host aggregate map; ACL; isolation test</x:v>
      </x:c>
      <x:c r="H44" s="11" t="str">
        <x:v>Architecture/Storage</x:v>
      </x:c>
      <x:c r="I44" s="11" t="str">
        <x:v>P0</x:v>
      </x:c>
      <x:c r="J44" s="11" t="str">
        <x:v>TCVN 14423:6.4.2.7</x:v>
      </x:c>
    </x:row>
    <x:row r="45" ht="74" customHeight="1">
      <x:c r="A45" s="10" t="str">
        <x:v>C4-DAT-06</x:v>
      </x:c>
      <x:c r="B45" s="10" t="str">
        <x:v>Quản lý dữ liệu</x:v>
      </x:c>
      <x:c r="C45" s="10" t="str">
        <x:v>DLP và log truy cập dữ liệu quan trọng</x:v>
      </x:c>
      <x:c r="D45" s="10" t="str">
        <x:v>Triển khai theo tiêu chí: Triển khai DLP phù hợp và lưu log truy cập dữ liệu quan trọng; cảnh báo xuất lượng lớn hoặc hành vi bất thường. Phương án phải được cấu hình, kiểm thử và gắn owner; không dùng thiết kế/tuyên bố thay bằng chứng vận hành.</x:v>
      </x:c>
      <x:c r="E45" s="10" t="str">
        <x:v>Chưa đánh giá</x:v>
      </x:c>
      <x:c r="F45" s="10" t="str">
        <x:v>Không ghi bí mật/PII không cần thiết vào log.</x:v>
      </x:c>
      <x:c r="G45" s="10" t="str">
        <x:v>DLP policy; data access logs; alert/use case; export approval</x:v>
      </x:c>
      <x:c r="H45" s="10" t="str">
        <x:v>SOC/DPO</x:v>
      </x:c>
      <x:c r="I45" s="10" t="str">
        <x:v>P1</x:v>
      </x:c>
      <x:c r="J45" s="10" t="str">
        <x:v>TCVN 14423:6.4.2.8-6.4.2.9</x:v>
      </x:c>
    </x:row>
    <x:row r="46" ht="76" customHeight="1">
      <x:c r="A46" s="11" t="str">
        <x:v>C4-CFG-01</x:v>
      </x:c>
      <x:c r="B46" s="11" t="str">
        <x:v>Cấu hình an toàn</x:v>
      </x:c>
      <x:c r="C46" s="11" t="str">
        <x:v>Baseline cấu hình</x:v>
      </x:c>
      <x:c r="D46" s="11" t="str">
        <x:v>Triển khai theo tiêu chí: Ban hành baseline cho OS, hypervisor, network, firewall, DB, message bus, container, OpenStack service và BMC; quản lý ngoại lệ có owner/hết hạn. Phương án phải được cấu hình, kiểm thử và gắn owner; không dùng thiết kế/tuyên bố thay bằng chứng vận hành.</x:v>
      </x:c>
      <x:c r="E46" s="11" t="str">
        <x:v>Chưa đánh giá</x:v>
      </x:c>
      <x:c r="F46" s="11" t="str">
        <x:v>Tham chiếu CIS Benchmark/vendor hardening nhưng map lại TCVN.</x:v>
      </x:c>
      <x:c r="G46" s="11" t="str">
        <x:v>Baseline; compliance scan; exception register</x:v>
      </x:c>
      <x:c r="H46" s="11" t="str">
        <x:v>Platform/SecOps</x:v>
      </x:c>
      <x:c r="I46" s="11" t="str">
        <x:v>P0</x:v>
      </x:c>
      <x:c r="J46" s="11" t="str">
        <x:v>TCVN 14423:6.5.2.1</x:v>
      </x:c>
    </x:row>
    <x:row r="47" ht="74" customHeight="1">
      <x:c r="A47" s="10" t="str">
        <x:v>C4-CFG-02</x:v>
      </x:c>
      <x:c r="B47" s="10" t="str">
        <x:v>Cấu hình an toàn</x:v>
      </x:c>
      <x:c r="C47" s="10" t="str">
        <x:v>Khóa phiên và timeout</x:v>
      </x:c>
      <x:c r="D47" s="10" t="str">
        <x:v>Triển khai theo tiêu chí: Tự khóa phiên quản trị sau thời gian không hoạt động; giới hạn phiên/token; không duy trì phiên đặc quyền dùng chung. Phương án phải được cấu hình, kiểm thử và gắn owner; không dùng thiết kế/tuyên bố thay bằng chứng vận hành.</x:v>
      </x:c>
      <x:c r="E47" s="10" t="str">
        <x:v>Chưa đánh giá</x:v>
      </x:c>
      <x:c r="F47" s="10" t="str">
        <x:v>Kiểm thử Horizon, CLI/API, SSH, VPN, firewall và iDRAC.</x:v>
      </x:c>
      <x:c r="G47" s="10" t="str">
        <x:v>IAM/PAM policy; config export; test case</x:v>
      </x:c>
      <x:c r="H47" s="10" t="str">
        <x:v>IAM/Platform</x:v>
      </x:c>
      <x:c r="I47" s="10" t="str">
        <x:v>P1</x:v>
      </x:c>
      <x:c r="J47" s="10" t="str">
        <x:v>TCVN 14423:6.5.2.2</x:v>
      </x:c>
    </x:row>
    <x:row r="48" ht="76" customHeight="1">
      <x:c r="A48" s="11" t="str">
        <x:v>C4-CFG-03</x:v>
      </x:c>
      <x:c r="B48" s="11" t="str">
        <x:v>Cấu hình an toàn</x:v>
      </x:c>
      <x:c r="C48" s="11" t="str">
        <x:v>Tắt dịch vụ không cần thiết</x:v>
      </x:c>
      <x:c r="D48" s="11" t="str">
        <x:v>Triển khai theo tiêu chí: Gỡ/tắt package, port, service, sample account, browser/email client và protocol không cần trên control/compute/network/storage nodes. Phương án phải được cấu hình, kiểm thử và gắn owner; không dùng thiết kế/tuyên bố thay bằng chứng vận hành.</x:v>
      </x:c>
      <x:c r="E48" s="11" t="str">
        <x:v>Chưa đánh giá</x:v>
      </x:c>
      <x:c r="F48" s="11" t="str">
        <x:v>Dùng deny-by-default và kiểm soát thay đổi để ngăn drift.</x:v>
      </x:c>
      <x:c r="G48" s="11" t="str">
        <x:v>Port/service inventory; hardening scan; golden image</x:v>
      </x:c>
      <x:c r="H48" s="11" t="str">
        <x:v>Platform/SecOps</x:v>
      </x:c>
      <x:c r="I48" s="11" t="str">
        <x:v>P1</x:v>
      </x:c>
      <x:c r="J48" s="11" t="str">
        <x:v>TCVN 14423:6.5.2.3</x:v>
      </x:c>
    </x:row>
    <x:row r="49" ht="74" customHeight="1">
      <x:c r="A49" s="10" t="str">
        <x:v>C4-CFG-04</x:v>
      </x:c>
      <x:c r="B49" s="10" t="str">
        <x:v>Cấu hình an toàn</x:v>
      </x:c>
      <x:c r="C49" s="10" t="str">
        <x:v>DNS/NTP/PKI tin cậy</x:v>
      </x:c>
      <x:c r="D49" s="10" t="str">
        <x:v>Triển khai theo tiêu chí: Dùng DNS tin cậy; tối thiểu hai nguồn thời gian; PKI nội bộ/được duyệt; giám sát lệch giờ và vòng đời chứng thư. Phương án phải được cấu hình, kiểm thử và gắn owner; không dùng thiết kế/tuyên bố thay bằng chứng vận hành.</x:v>
      </x:c>
      <x:c r="E49" s="10" t="str">
        <x:v>Chưa đánh giá</x:v>
      </x:c>
      <x:c r="F49" s="10" t="str">
        <x:v>Không để TLS/log/audit phụ thuộc vào DNS/NTP đơn điểm lỗi.</x:v>
      </x:c>
      <x:c r="G49" s="10" t="str">
        <x:v>DNS/NTP/PKI design; cert inventory; drift/expiry alerts</x:v>
      </x:c>
      <x:c r="H49" s="10" t="str">
        <x:v>Platform/NetOps</x:v>
      </x:c>
      <x:c r="I49" s="10" t="str">
        <x:v>P1</x:v>
      </x:c>
      <x:c r="J49" s="10" t="str">
        <x:v>TCVN 14423:6.5; dự thảo 4.2.1, 4.2.8</x:v>
      </x:c>
    </x:row>
    <x:row r="50" ht="76" customHeight="1">
      <x:c r="A50" s="11" t="str">
        <x:v>C4-IAM-01</x:v>
      </x:c>
      <x:c r="B50" s="11" t="str">
        <x:v>IAM và đặc quyền</x:v>
      </x:c>
      <x:c r="C50" s="11" t="str">
        <x:v>Kho tài khoản tập trung</x:v>
      </x:c>
      <x:c r="D50" s="11" t="str">
        <x:v>Triển khai theo tiêu chí: Quản lý tập trung người dùng, service account, API credential và tài khoản đặc quyền; mỗi tài khoản cá nhân có owner và trạng thái. Phương án phải được cấu hình, kiểm thử và gắn owner; không dùng thiết kế/tuyên bố thay bằng chứng vận hành.</x:v>
      </x:c>
      <x:c r="E50" s="11" t="str">
        <x:v>Chưa đánh giá</x:v>
      </x:c>
      <x:c r="F50" s="11" t="str">
        <x:v>Tích hợp Keystone federation/IdP; tránh local account trừ break-glass.</x:v>
      </x:c>
      <x:c r="G50" s="11" t="str">
        <x:v>IAM export; owner mapping; account inventory</x:v>
      </x:c>
      <x:c r="H50" s="11" t="str">
        <x:v>IAM</x:v>
      </x:c>
      <x:c r="I50" s="11" t="str">
        <x:v>P0</x:v>
      </x:c>
      <x:c r="J50" s="11" t="str">
        <x:v>TCVN 14423:6.6.2.1</x:v>
      </x:c>
    </x:row>
    <x:row r="51" ht="74" customHeight="1">
      <x:c r="A51" s="10" t="str">
        <x:v>C4-IAM-02</x:v>
      </x:c>
      <x:c r="B51" s="10" t="str">
        <x:v>IAM và đặc quyền</x:v>
      </x:c>
      <x:c r="C51" s="10" t="str">
        <x:v>MFA tài khoản quản trị</x:v>
      </x:c>
      <x:c r="D51" s="10" t="str">
        <x:v>Triển khai theo tiêu chí: Bật MFA cho mọi quản trị từ portal/API/VPN/PAM; không cho bypass trừ break-glass kiểm soát. Phương án phải được cấu hình, kiểm thử và gắn owner; không dùng thiết kế/tuyên bố thay bằng chứng vận hành.</x:v>
      </x:c>
      <x:c r="E51" s="10" t="str">
        <x:v>Chưa đánh giá</x:v>
      </x:c>
      <x:c r="F51" s="10" t="str">
        <x:v>Theo dự thảo, mục tiêu mức 4 dùng yếu tố phần cứng chống sao chép cho tài khoản đặc quyền.</x:v>
      </x:c>
      <x:c r="G51" s="10" t="str">
        <x:v>MFA policy; enrollment report; negative test</x:v>
      </x:c>
      <x:c r="H51" s="10" t="str">
        <x:v>IAM/Security</x:v>
      </x:c>
      <x:c r="I51" s="10" t="str">
        <x:v>P0</x:v>
      </x:c>
      <x:c r="J51" s="10" t="str">
        <x:v>TCVN 14423:6.6.2.2; dự thảo 5.5.2.3</x:v>
      </x:c>
    </x:row>
    <x:row r="52" ht="74" customHeight="1">
      <x:c r="A52" s="11" t="str">
        <x:v>C4-IAM-03</x:v>
      </x:c>
      <x:c r="B52" s="11" t="str">
        <x:v>IAM và đặc quyền</x:v>
      </x:c>
      <x:c r="C52" s="11" t="str">
        <x:v>RBAC và least privilege</x:v>
      </x:c>
      <x:c r="D52" s="11" t="str">
        <x:v>Triển khai theo tiêu chí: Tách vai trò cloud admin, security, network, storage, IAM, billing, auditor và support; cấp quyền tối thiểu theo project/domain. Phương án phải được cấu hình, kiểm thử và gắn owner; không dùng thiết kế/tuyên bố thay bằng chứng vận hành.</x:v>
      </x:c>
      <x:c r="E52" s="11" t="str">
        <x:v>Chưa đánh giá</x:v>
      </x:c>
      <x:c r="F52" s="11" t="str">
        <x:v>Không dùng tài khoản admin chung; kiểm thử API enforcement, không chỉ UI.</x:v>
      </x:c>
      <x:c r="G52" s="11" t="str">
        <x:v>Role matrix; Keystone policy; quarterly review</x:v>
      </x:c>
      <x:c r="H52" s="11" t="str">
        <x:v>IAM/Platform</x:v>
      </x:c>
      <x:c r="I52" s="11" t="str">
        <x:v>P0</x:v>
      </x:c>
      <x:c r="J52" s="11" t="str">
        <x:v>TCVN 14423:6.6.2.3-6.6.2.5</x:v>
      </x:c>
    </x:row>
    <x:row r="53" ht="76" customHeight="1">
      <x:c r="A53" s="10" t="str">
        <x:v>C4-IAM-04</x:v>
      </x:c>
      <x:c r="B53" s="10" t="str">
        <x:v>IAM và đặc quyền</x:v>
      </x:c>
      <x:c r="C53" s="10" t="str">
        <x:v>Vòng đời tài khoản</x:v>
      </x:c>
      <x:c r="D53" s="10" t="str">
        <x:v>Triển khai theo tiêu chí: Phê duyệt cấp mới/thay đổi/thu hồi; vô hiệu hóa tài khoản không hoạt động sau 45 ngày hoặc ngay khi nhân sự thay đổi; rà soát ít nhất mỗi quý. Phương án phải được cấu hình, kiểm thử và gắn owner; không dùng thiết kế/tuyên bố thay bằng chứng vận hành.</x:v>
      </x:c>
      <x:c r="E53" s="10" t="str">
        <x:v>Chưa đánh giá</x:v>
      </x:c>
      <x:c r="F53" s="10" t="str">
        <x:v>Bao gồm API key, robot/service account, credential trên CI/CD và tài khoản nhà thầu.</x:v>
      </x:c>
      <x:c r="G53" s="10" t="str">
        <x:v>JML tickets; HR feed; review sign-off; stale account report</x:v>
      </x:c>
      <x:c r="H53" s="10" t="str">
        <x:v>IAM/HR</x:v>
      </x:c>
      <x:c r="I53" s="10" t="str">
        <x:v>P0</x:v>
      </x:c>
      <x:c r="J53" s="10" t="str">
        <x:v>TCVN 14423:6.6</x:v>
      </x:c>
    </x:row>
    <x:row r="54" ht="74" customHeight="1">
      <x:c r="A54" s="11" t="str">
        <x:v>C4-IAM-05</x:v>
      </x:c>
      <x:c r="B54" s="11" t="str">
        <x:v>IAM và đặc quyền</x:v>
      </x:c>
      <x:c r="C54" s="11" t="str">
        <x:v>PAM/JIT và ghi phiên</x:v>
      </x:c>
      <x:c r="D54" s="11" t="str">
        <x:v>Triển khai theo tiêu chí: Đặc quyền qua PAM/bastion, cấp theo thời gian/sự vụ, phê duyệt, ghi lệnh/phiên, cảnh báo hành vi và thu hồi tự động. Phương án phải được cấu hình, kiểm thử và gắn owner; không dùng thiết kế/tuyên bố thay bằng chứng vận hành.</x:v>
      </x:c>
      <x:c r="E54" s="11" t="str">
        <x:v>Chưa đánh giá</x:v>
      </x:c>
      <x:c r="F54" s="11" t="str">
        <x:v>Tách quyền trên host khỏi quyền đọc dữ liệu tenant; áp dụng dual control cho thao tác nguy hiểm.</x:v>
      </x:c>
      <x:c r="G54" s="11" t="str">
        <x:v>PAM logs; session recording; JIT approval; break-glass report</x:v>
      </x:c>
      <x:c r="H54" s="11" t="str">
        <x:v>Security/IAM</x:v>
      </x:c>
      <x:c r="I54" s="11" t="str">
        <x:v>P0</x:v>
      </x:c>
      <x:c r="J54" s="11" t="str">
        <x:v>TCVN 14423:6.6; dự thảo 4.2.6</x:v>
      </x:c>
    </x:row>
    <x:row r="55" ht="76" customHeight="1">
      <x:c r="A55" s="10" t="str">
        <x:v>C4-IAM-06</x:v>
      </x:c>
      <x:c r="B55" s="10" t="str">
        <x:v>IAM và đặc quyền</x:v>
      </x:c>
      <x:c r="C55" s="10" t="str">
        <x:v>Quản lý bí mật</x:v>
      </x:c>
      <x:c r="D55" s="10" t="str">
        <x:v>Triển khai theo tiêu chí: Không lưu mật khẩu/secret ở plain text trong site-config, repository, image hoặc ticket; dùng vault, rotation, short-lived credential và secret scanning. Phương án phải được cấu hình, kiểm thử và gắn owner; không dùng thiết kế/tuyên bố thay bằng chứng vận hành.</x:v>
      </x:c>
      <x:c r="E55" s="10" t="str">
        <x:v>Không đạt</x:v>
      </x:c>
      <x:c r="F55" s="10" t="str">
        <x:v>Trivy phát hiện 6 SSH host private key thực được đóng trong image nova-ssh/keystone-ssh; đồng thời cần xác minh trường ssh_password. Phải loại khóa khỏi image, sinh/rotate riêng khi deploy và quét lại.</x:v>
      </x:c>
      <x:c r="G55" s="10" t="str">
        <x:v>Vault inventory; scan report; rotation logs; redacted config</x:v>
      </x:c>
      <x:c r="H55" s="10" t="str">
        <x:v>Security/DevSecOps</x:v>
      </x:c>
      <x:c r="I55" s="10" t="str">
        <x:v>P0</x:v>
      </x:c>
      <x:c r="J55" s="10" t="str">
        <x:v>TCVN 14423:6.6; dự thảo 4.2.13.2.7</x:v>
      </x:c>
    </x:row>
    <x:row r="56" ht="76" customHeight="1">
      <x:c r="A56" s="11" t="str">
        <x:v>C4-VUL-01</x:v>
      </x:c>
      <x:c r="B56" s="11" t="str">
        <x:v>Lỗ hổng và bản vá</x:v>
      </x:c>
      <x:c r="C56" s="11" t="str">
        <x:v>Quy trình quản lý lỗ hổng</x:v>
      </x:c>
      <x:c r="D56" s="11" t="str">
        <x:v>Triển khai theo tiêu chí: Bao phủ internet, nội bộ, authenticated scan, container/image, hypervisor, network, firmware và ứng dụng; có SLA theo mức nghiêm trọng. Phương án phải được cấu hình, kiểm thử và gắn owner; không dùng thiết kế/tuyên bố thay bằng chứng vận hành.</x:v>
      </x:c>
      <x:c r="E56" s="11" t="str">
        <x:v>Đang thực hiện</x:v>
      </x:c>
      <x:c r="F56" s="11" t="str">
        <x:v>Báo cáo Trivy lab bao phủ 38 runtime image cùng source/offline artifact. Còn thiếu chính sách/SLA, host/hypervisor/network authenticated scan, guest image, API/DAST và kết quả production sau khắc phục.</x:v>
      </x:c>
      <x:c r="G56" s="11" t="str">
        <x:v>Vulnerability policy; scan coverage; remediation SLA dashboard</x:v>
      </x:c>
      <x:c r="H56" s="11" t="str">
        <x:v>SecOps/Owners</x:v>
      </x:c>
      <x:c r="I56" s="11" t="str">
        <x:v>P0</x:v>
      </x:c>
      <x:c r="J56" s="11" t="str">
        <x:v>TCVN 14423:6.7.2.1</x:v>
      </x:c>
    </x:row>
    <x:row r="57" ht="74" customHeight="1">
      <x:c r="A57" s="10" t="str">
        <x:v>C4-VUL-02</x:v>
      </x:c>
      <x:c r="B57" s="10" t="str">
        <x:v>Lỗ hổng và bản vá</x:v>
      </x:c>
      <x:c r="C57" s="10" t="str">
        <x:v>Quy trình bản vá</x:v>
      </x:c>
      <x:c r="D57" s="10" t="str">
        <x:v>Triển khai theo tiêu chí: Đánh giá, thử nghiệm, triển khai cuốn chiếu, xác minh và rollback; xử lý emergency patch; ngoại lệ có biện pháp bù và hết hạn. Phương án phải được cấu hình, kiểm thử và gắn owner; không dùng thiết kế/tuyên bố thay bằng chứng vận hành.</x:v>
      </x:c>
      <x:c r="E57" s="10" t="str">
        <x:v>Chưa đánh giá</x:v>
      </x:c>
      <x:c r="F57" s="10" t="str">
        <x:v>Thiết kế để vá control plane/network/storage không làm mất quorum hoặc gián đoạn ngoài SLA.</x:v>
      </x:c>
      <x:c r="G57" s="10" t="str">
        <x:v>Patch policy; test record; change/rollback; compliance report</x:v>
      </x:c>
      <x:c r="H57" s="10" t="str">
        <x:v>Platform/NetOps</x:v>
      </x:c>
      <x:c r="I57" s="10" t="str">
        <x:v>P0</x:v>
      </x:c>
      <x:c r="J57" s="10" t="str">
        <x:v>TCVN 14423:6.7.2.2</x:v>
      </x:c>
    </x:row>
    <x:row r="58" ht="74" customHeight="1">
      <x:c r="A58" s="11" t="str">
        <x:v>C4-VUL-03</x:v>
      </x:c>
      <x:c r="B58" s="11" t="str">
        <x:v>Lỗ hổng và bản vá</x:v>
      </x:c>
      <x:c r="C58" s="11" t="str">
        <x:v>Theo dõi cảnh báo và CVE</x:v>
      </x:c>
      <x:c r="D58" s="11" t="str">
        <x:v>Triển khai theo tiêu chí: Theo dõi vendor/CISA/NVD/BCA; map CVE vào SBOM; ưu tiên theo exposure, exploitability và dữ liệu, không chỉ CVSS. Phương án phải được cấu hình, kiểm thử và gắn owner; không dùng thiết kế/tuyên bố thay bằng chứng vận hành.</x:v>
      </x:c>
      <x:c r="E58" s="11" t="str">
        <x:v>Đang thực hiện</x:v>
      </x:c>
      <x:c r="F58" s="11" t="str">
        <x:v>Trivy đã ánh xạ CVE, package, fixed version và thứ tự xử lý; cần bổ sung threat feed định kỳ, ticket/SLA, đánh giá exposure và quy trình VEX/ngoại lệ có phê duyệt.</x:v>
      </x:c>
      <x:c r="G58" s="11" t="str">
        <x:v>Threat feed; SBOM-CVE mapping; triage tickets</x:v>
      </x:c>
      <x:c r="H58" s="11" t="str">
        <x:v>SOC/SecOps</x:v>
      </x:c>
      <x:c r="I58" s="11" t="str">
        <x:v>P1</x:v>
      </x:c>
      <x:c r="J58" s="11" t="str">
        <x:v>TCVN 14423:6.7</x:v>
      </x:c>
    </x:row>
    <x:row r="59" ht="74" customHeight="1">
      <x:c r="A59" s="10" t="str">
        <x:v>C4-LOG-01</x:v>
      </x:c>
      <x:c r="B59" s="10" t="str">
        <x:v>Nhật ký và giám sát</x:v>
      </x:c>
      <x:c r="C59" s="10" t="str">
        <x:v>Chính sách nhật ký</x:v>
      </x:c>
      <x:c r="D59" s="10" t="str">
        <x:v>Triển khai theo tiêu chí: Xác định nguồn, trường, mức log, retention, quyền truy cập, đồng bộ giờ, bảo vệ PII/secret và trách nhiệm rà soát. Phương án phải được cấu hình, kiểm thử và gắn owner; không dùng thiết kế/tuyên bố thay bằng chứng vận hành.</x:v>
      </x:c>
      <x:c r="E59" s="10" t="str">
        <x:v>Chưa đánh giá</x:v>
      </x:c>
      <x:c r="F59" s="10" t="str">
        <x:v>Bao gồm Keystone, Nova, Neutron, Cinder, Glance, DB, RabbitMQ, HAProxy, OS, firewall, switch, iDRAC và DC.</x:v>
      </x:c>
      <x:c r="G59" s="10" t="str">
        <x:v>Logging standard; source matrix; retention; access review</x:v>
      </x:c>
      <x:c r="H59" s="10" t="str">
        <x:v>SOC/Platform</x:v>
      </x:c>
      <x:c r="I59" s="10" t="str">
        <x:v>P0</x:v>
      </x:c>
      <x:c r="J59" s="10" t="str">
        <x:v>TCVN 14423:6.8.2.1</x:v>
      </x:c>
    </x:row>
    <x:row r="60" ht="74" customHeight="1">
      <x:c r="A60" s="11" t="str">
        <x:v>C4-LOG-02</x:v>
      </x:c>
      <x:c r="B60" s="11" t="str">
        <x:v>Nhật ký và giám sát</x:v>
      </x:c>
      <x:c r="C60" s="11" t="str">
        <x:v>Thu thập tập trung và SIEM</x:v>
      </x:c>
      <x:c r="D60" s="11" t="str">
        <x:v>Triển khai theo tiêu chí: Chuyển log near-real-time về hệ thống tập trung độc lập; phát hiện mất nguồn log; phân quyền và mã hóa đường truyền. Phương án phải được cấu hình, kiểm thử và gắn owner; không dùng thiết kế/tuyên bố thay bằng chứng vận hành.</x:v>
      </x:c>
      <x:c r="E60" s="11" t="str">
        <x:v>Chưa đánh giá</x:v>
      </x:c>
      <x:c r="F60" s="11" t="str">
        <x:v>Log bảo vệ không phụ thuộc hoàn toàn vào chính cloud được giám sát.</x:v>
      </x:c>
      <x:c r="G60" s="11" t="str">
        <x:v>SIEM source health; TLS config; ingestion/latency dashboard</x:v>
      </x:c>
      <x:c r="H60" s="11" t="str">
        <x:v>SOC/Platform</x:v>
      </x:c>
      <x:c r="I60" s="11" t="str">
        <x:v>P0</x:v>
      </x:c>
      <x:c r="J60" s="11" t="str">
        <x:v>TCVN 14423:6.8; 6.13</x:v>
      </x:c>
    </x:row>
    <x:row r="61" ht="74" customHeight="1">
      <x:c r="A61" s="10" t="str">
        <x:v>C4-LOG-03</x:v>
      </x:c>
      <x:c r="B61" s="10" t="str">
        <x:v>Nhật ký và giám sát</x:v>
      </x:c>
      <x:c r="C61" s="10" t="str">
        <x:v>Bảo vệ toàn vẹn log</x:v>
      </x:c>
      <x:c r="D61" s="10" t="str">
        <x:v>Triển khai theo tiêu chí: Chống sửa/xóa, tách quyền quản trị, hash/immutable storage và đồng bộ thời gian; bảo đảm truy vết cá nhân cho hành vi đặc quyền. Phương án phải được cấu hình, kiểm thử và gắn owner; không dùng thiết kế/tuyên bố thay bằng chứng vận hành.</x:v>
      </x:c>
      <x:c r="E61" s="10" t="str">
        <x:v>Chưa đánh giá</x:v>
      </x:c>
      <x:c r="F61" s="10" t="str">
        <x:v>Mức 4 nên có chuỗi hành trình chứng cứ hoặc thủ tục bù theo dự thảo.</x:v>
      </x:c>
      <x:c r="G61" s="10" t="str">
        <x:v>WORM/immutability config; hash validation; admin separation test</x:v>
      </x:c>
      <x:c r="H61" s="10" t="str">
        <x:v>SOC/Security</x:v>
      </x:c>
      <x:c r="I61" s="10" t="str">
        <x:v>P0</x:v>
      </x:c>
      <x:c r="J61" s="10" t="str">
        <x:v>TCVN 14423:6.8; dự thảo 4.2.9, 5.9</x:v>
      </x:c>
    </x:row>
    <x:row r="62" ht="76" customHeight="1">
      <x:c r="A62" s="11" t="str">
        <x:v>C4-LOG-04</x:v>
      </x:c>
      <x:c r="B62" s="11" t="str">
        <x:v>Nhật ký và giám sát</x:v>
      </x:c>
      <x:c r="C62" s="11" t="str">
        <x:v>Use case và cảnh báo</x:v>
      </x:c>
      <x:c r="D62" s="11" t="str">
        <x:v>Triển khai theo tiêu chí: Có rule cho brute force, privilege escalation, policy bypass, cross-tenant scan, metadata abuse, key export, bulk data export, log stop, time drift và config drift. Phương án phải được cấu hình, kiểm thử và gắn owner; không dùng thiết kế/tuyên bố thay bằng chứng vận hành.</x:v>
      </x:c>
      <x:c r="E62" s="11" t="str">
        <x:v>Chưa đánh giá</x:v>
      </x:c>
      <x:c r="F62" s="11" t="str">
        <x:v>Đo false positive/false negative và rà soát ngưỡng sau thay đổi.</x:v>
      </x:c>
      <x:c r="G62" s="11" t="str">
        <x:v>Use-case catalog; alert test; incident tickets; tuning record</x:v>
      </x:c>
      <x:c r="H62" s="11" t="str">
        <x:v>SOC</x:v>
      </x:c>
      <x:c r="I62" s="11" t="str">
        <x:v>P0</x:v>
      </x:c>
      <x:c r="J62" s="11" t="str">
        <x:v>TCVN 14423:6.13.2</x:v>
      </x:c>
    </x:row>
    <x:row r="63" ht="74" customHeight="1">
      <x:c r="A63" s="10" t="str">
        <x:v>C4-LOG-05</x:v>
      </x:c>
      <x:c r="B63" s="10" t="str">
        <x:v>Nhật ký và giám sát</x:v>
      </x:c>
      <x:c r="C63" s="10" t="str">
        <x:v>NOC/SOC liên tục</x:v>
      </x:c>
      <x:c r="D63" s="10" t="str">
        <x:v>Triển khai theo tiêu chí: Theo dõi tập trung 24/7 với escalation, on-call, health dashboard và khả năng cô lập khẩn cấp đã kiểm thử. Phương án phải được cấu hình, kiểm thử và gắn owner; không dùng thiết kế/tuyên bố thay bằng chứng vận hành.</x:v>
      </x:c>
      <x:c r="E63" s="10" t="str">
        <x:v>Chưa đánh giá</x:v>
      </x:c>
      <x:c r="F63" s="10" t="str">
        <x:v>Tách giám sát an ninh với giám sát khả dụng nhưng liên kết sự kiện.</x:v>
      </x:c>
      <x:c r="G63" s="10" t="str">
        <x:v>Roster; on-call test; MTTD/MTTR; escalation log</x:v>
      </x:c>
      <x:c r="H63" s="10" t="str">
        <x:v>SOC/NOC/SRE</x:v>
      </x:c>
      <x:c r="I63" s="10" t="str">
        <x:v>P0</x:v>
      </x:c>
      <x:c r="J63" s="10" t="str">
        <x:v>TCVN 14423:6.13</x:v>
      </x:c>
    </x:row>
    <x:row r="64" ht="74" customHeight="1">
      <x:c r="A64" s="11" t="str">
        <x:v>C4-MAL-01</x:v>
      </x:c>
      <x:c r="B64" s="11" t="str">
        <x:v>Mã độc và endpoint</x:v>
      </x:c>
      <x:c r="C64" s="11" t="str">
        <x:v>Phòng chống mã độc/EDR</x:v>
      </x:c>
      <x:c r="D64" s="11" t="str">
        <x:v>Triển khai theo tiêu chí: Triển khai, cập nhật và quản lý tập trung EDR/anti-malware phù hợp trên máy quản trị, bastion, server hỗ trợ; cảnh báo về SIEM. Phương án phải được cấu hình, kiểm thử và gắn owner; không dùng thiết kế/tuyên bố thay bằng chứng vận hành.</x:v>
      </x:c>
      <x:c r="E64" s="11" t="str">
        <x:v>Chưa đánh giá</x:v>
      </x:c>
      <x:c r="F64" s="11" t="str">
        <x:v>Với appliance/container không cài agent, dùng compensating control và file/image scanning.</x:v>
      </x:c>
      <x:c r="G64" s="11" t="str">
        <x:v>Coverage report; policy; update health; test alert</x:v>
      </x:c>
      <x:c r="H64" s="11" t="str">
        <x:v>SecOps</x:v>
      </x:c>
      <x:c r="I64" s="11" t="str">
        <x:v>P1</x:v>
      </x:c>
      <x:c r="J64" s="11" t="str">
        <x:v>TCVN 14423:6.9-6.10</x:v>
      </x:c>
    </x:row>
    <x:row r="65" ht="74" customHeight="1">
      <x:c r="A65" s="10" t="str">
        <x:v>C4-MAL-02</x:v>
      </x:c>
      <x:c r="B65" s="10" t="str">
        <x:v>Mã độc và endpoint</x:v>
      </x:c>
      <x:c r="C65" s="10" t="str">
        <x:v>Web/email/DNS filtering</x:v>
      </x:c>
      <x:c r="D65" s="10" t="str">
        <x:v>Triển khai theo tiêu chí: Chỉ cho phép trình duyệt/email ở vùng người dùng; lọc DNS/URL, sandbox tệp, chặn domain độc hại; không cài trên node hạ tầng. Phương án phải được cấu hình, kiểm thử và gắn owner; không dùng thiết kế/tuyên bố thay bằng chứng vận hành.</x:v>
      </x:c>
      <x:c r="E65" s="10" t="str">
        <x:v>Chưa đánh giá</x:v>
      </x:c>
      <x:c r="F65" s="10" t="str">
        <x:v>Áp dụng cho máy quản trị và kênh nhận artifact; node cloud dùng egress allowlist.</x:v>
      </x:c>
      <x:c r="G65" s="10" t="str">
        <x:v>Proxy/DNS policy; endpoint baseline; blocked event</x:v>
      </x:c>
      <x:c r="H65" s="10" t="str">
        <x:v>SecOps/IT</x:v>
      </x:c>
      <x:c r="I65" s="10" t="str">
        <x:v>P2</x:v>
      </x:c>
      <x:c r="J65" s="10" t="str">
        <x:v>TCVN 14423:6.9.2</x:v>
      </x:c>
    </x:row>
    <x:row r="66" ht="74" customHeight="1">
      <x:c r="A66" s="11" t="str">
        <x:v>C4-BKP-01</x:v>
      </x:c>
      <x:c r="B66" s="11" t="str">
        <x:v>Sao lưu và khôi phục</x:v>
      </x:c>
      <x:c r="C66" s="11" t="str">
        <x:v>Chính sách backup theo RPO/RTO</x:v>
      </x:c>
      <x:c r="D66" s="11" t="str">
        <x:v>Triển khai theo tiêu chí: Phân loại dữ liệu và xác định tần suất, retention, RPO/RTO, owner, encryption, offsite, quy trình restore và tiêu chí thành công. Phương án phải được cấu hình, kiểm thử và gắn owner; không dùng thiết kế/tuyên bố thay bằng chứng vận hành.</x:v>
      </x:c>
      <x:c r="E66" s="11" t="str">
        <x:v>Chưa đánh giá</x:v>
      </x:c>
      <x:c r="F66" s="11" t="str">
        <x:v>Tách trách nhiệm backup nền tảng và backup workload của khách hàng.</x:v>
      </x:c>
      <x:c r="G66" s="11" t="str">
        <x:v>Backup policy; service-tier RPO/RTO; job matrix</x:v>
      </x:c>
      <x:c r="H66" s="11" t="str">
        <x:v>SRE/Storage</x:v>
      </x:c>
      <x:c r="I66" s="11" t="str">
        <x:v>P0</x:v>
      </x:c>
      <x:c r="J66" s="11" t="str">
        <x:v>TCVN 14423:6.11.2.1</x:v>
      </x:c>
    </x:row>
    <x:row r="67" ht="74" customHeight="1">
      <x:c r="A67" s="10" t="str">
        <x:v>C4-BKP-02</x:v>
      </x:c>
      <x:c r="B67" s="10" t="str">
        <x:v>Sao lưu và khôi phục</x:v>
      </x:c>
      <x:c r="C67" s="10" t="str">
        <x:v>Backup tự động và giám sát</x:v>
      </x:c>
      <x:c r="D67" s="10" t="str">
        <x:v>Triển khai theo tiêu chí: Tự động sao lưu DB/config/secret/registry/image/volume theo phạm vi; cảnh báo job fail, dung lượng, retention và replication lag. Phương án phải được cấu hình, kiểm thử và gắn owner; không dùng thiết kế/tuyên bố thay bằng chứng vận hành.</x:v>
      </x:c>
      <x:c r="E67" s="10" t="str">
        <x:v>Chưa đánh giá</x:v>
      </x:c>
      <x:c r="F67" s="10" t="str">
        <x:v>Bao gồm MariaDB/Galera, RabbitMQ definitions, Keystone, Neutron, Glance, Cinder metadata và portal.</x:v>
      </x:c>
      <x:c r="G67" s="10" t="str">
        <x:v>Job config; success/failure logs; alert tickets</x:v>
      </x:c>
      <x:c r="H67" s="10" t="str">
        <x:v>SRE/Storage</x:v>
      </x:c>
      <x:c r="I67" s="10" t="str">
        <x:v>P0</x:v>
      </x:c>
      <x:c r="J67" s="10" t="str">
        <x:v>TCVN 14423:6.11.2.2</x:v>
      </x:c>
    </x:row>
    <x:row r="68" ht="74" customHeight="1">
      <x:c r="A68" s="11" t="str">
        <x:v>C4-BKP-03</x:v>
      </x:c>
      <x:c r="B68" s="11" t="str">
        <x:v>Sao lưu và khôi phục</x:v>
      </x:c>
      <x:c r="C68" s="11" t="str">
        <x:v>Bảo vệ và tách biệt backup</x:v>
      </x:c>
      <x:c r="D68" s="11" t="str">
        <x:v>Triển khai theo tiêu chí: Mã hóa, quyền riêng, tài khoản/credential riêng; kho backup tách hạ tầng chính và có bản ngoài failure domain. Phương án phải được cấu hình, kiểm thử và gắn owner; không dùng thiết kế/tuyên bố thay bằng chứng vận hành.</x:v>
      </x:c>
      <x:c r="E68" s="11" t="str">
        <x:v>Chưa đánh giá</x:v>
      </x:c>
      <x:c r="F68" s="11" t="str">
        <x:v>Một bản sao trong cùng rack/LVM host không được coi là bản tách biệt.</x:v>
      </x:c>
      <x:c r="G68" s="11" t="str">
        <x:v>Backup ACL; encryption; network/storage diagram; ransomware test</x:v>
      </x:c>
      <x:c r="H68" s="11" t="str">
        <x:v>Security/Storage</x:v>
      </x:c>
      <x:c r="I68" s="11" t="str">
        <x:v>P0</x:v>
      </x:c>
      <x:c r="J68" s="11" t="str">
        <x:v>TCVN 14423:6.11.2.3-6.11.2.4</x:v>
      </x:c>
    </x:row>
    <x:row r="69" ht="74" customHeight="1">
      <x:c r="A69" s="10" t="str">
        <x:v>C4-BKP-04</x:v>
      </x:c>
      <x:c r="B69" s="10" t="str">
        <x:v>Sao lưu và khôi phục</x:v>
      </x:c>
      <x:c r="C69" s="10" t="str">
        <x:v>Kiểm tra khôi phục</x:v>
      </x:c>
      <x:c r="D69" s="10" t="str">
        <x:v>Triển khai theo tiêu chí: Kiểm tra khôi phục theo lịch và đo RTO/RPO; diễn tập full restore nhóm tài nguyên đại diện; xử lý mọi sai lệch. Phương án phải được cấu hình, kiểm thử và gắn owner; không dùng thiết kế/tuyên bố thay bằng chứng vận hành.</x:v>
      </x:c>
      <x:c r="E69" s="10" t="str">
        <x:v>Chưa đánh giá</x:v>
      </x:c>
      <x:c r="F69" s="10" t="str">
        <x:v>Mức 4: TCVN yêu cầu kiểm tra khả năng khôi phục; dự thảo yêu cầu diễn tập full restore theo chu kỳ.</x:v>
      </x:c>
      <x:c r="G69" s="10" t="str">
        <x:v>Restore test report; checksum; achieved RTO/RPO; corrective actions</x:v>
      </x:c>
      <x:c r="H69" s="10" t="str">
        <x:v>SRE/BCM</x:v>
      </x:c>
      <x:c r="I69" s="10" t="str">
        <x:v>P0</x:v>
      </x:c>
      <x:c r="J69" s="10" t="str">
        <x:v>TCVN 14423:6.11.2.5; dự thảo 5.10.4</x:v>
      </x:c>
    </x:row>
    <x:row r="70" ht="74" customHeight="1">
      <x:c r="A70" s="11" t="str">
        <x:v>C4-BKP-05</x:v>
      </x:c>
      <x:c r="B70" s="11" t="str">
        <x:v>Sao lưu và khôi phục</x:v>
      </x:c>
      <x:c r="C70" s="11" t="str">
        <x:v>Backup bất biến</x:v>
      </x:c>
      <x:c r="D70" s="11" t="str">
        <x:v>Triển khai theo tiêu chí: Bật chế độ bất biến cho backup control plane và dữ liệu khách hàng thuộc dịch vụ backup; tách quyền xóa và có break-glass. Phương án phải được cấu hình, kiểm thử và gắn owner; không dùng thiết kế/tuyên bố thay bằng chứng vận hành.</x:v>
      </x:c>
      <x:c r="E70" s="11" t="str">
        <x:v>Chưa đánh giá</x:v>
      </x:c>
      <x:c r="F70" s="11" t="str">
        <x:v>Dự thảo TCVN Cloud chưa có hiệu lực nhưng là mục tiêu chống ransomware quan trọng.</x:v>
      </x:c>
      <x:c r="G70" s="11" t="str">
        <x:v>Immutability policy; retention lock; delete test; break-glass log</x:v>
      </x:c>
      <x:c r="H70" s="11" t="str">
        <x:v>Storage/Security</x:v>
      </x:c>
      <x:c r="I70" s="11" t="str">
        <x:v>P0</x:v>
      </x:c>
      <x:c r="J70" s="11" t="str">
        <x:v>Dự thảo 5.10.2.2</x:v>
      </x:c>
    </x:row>
    <x:row r="71" ht="76" customHeight="1">
      <x:c r="A71" s="10" t="str">
        <x:v>C4-NET-01</x:v>
      </x:c>
      <x:c r="B71" s="10" t="str">
        <x:v>Hạ tầng mạng</x:v>
      </x:c>
      <x:c r="C71" s="10" t="str">
        <x:v>Sơ đồ mạng và trust zone</x:v>
      </x:c>
      <x:c r="D71" s="10" t="str">
        <x:v>Triển khai theo tiêu chí: Duy trì sơ đồ vật lý/lô-gic, luồng north-south/east-west, VIP, routing, firewall, LB, management, storage, migration, tenant và external; cập nhật khi thay đổi. Phương án phải được cấu hình, kiểm thử và gắn owner; không dùng thiết kế/tuyên bố thay bằng chứng vận hành.</x:v>
      </x:c>
      <x:c r="E71" s="10" t="str">
        <x:v>Đang thực hiện</x:v>
      </x:c>
      <x:c r="F71" s="10" t="str">
        <x:v>Đã vẽ zone và hạ tầng A/B theo 09 server + 01 SAN. Phác thảo dùng VLAN 10/20/30/31/40/70/99/100, khác ý nghĩa VLAN trong bảng tính cũ; còn thiếu bản phê duyệt L2/L3/IP/VRF/VXLAN, chuyển đổi VLAN và port matrix.</x:v>
      </x:c>
      <x:c r="G71" s="10" t="str">
        <x:v>L2/L3 diagrams; dataflow; port matrix; change-linked version</x:v>
      </x:c>
      <x:c r="H71" s="10" t="str">
        <x:v>NetOps/Architecture</x:v>
      </x:c>
      <x:c r="I71" s="10" t="str">
        <x:v>P0</x:v>
      </x:c>
      <x:c r="J71" s="10" t="str">
        <x:v>TCVN 14423:6.12.2.1</x:v>
      </x:c>
    </x:row>
    <x:row r="72" ht="76" customHeight="1">
      <x:c r="A72" s="11" t="str">
        <x:v>C4-NET-02</x:v>
      </x:c>
      <x:c r="B72" s="11" t="str">
        <x:v>Hạ tầng mạng</x:v>
      </x:c>
      <x:c r="C72" s="11" t="str">
        <x:v>Phân vùng và deny-by-default</x:v>
      </x:c>
      <x:c r="D72" s="11" t="str">
        <x:v>Triển khai theo tiêu chí: Tách OOB, management, API, storage, migration, tunnel, provider, tenant, DMZ, backup, monitoring; mọi liên vùng qua policy được duyệt và log. Phương án phải được cấu hình, kiểm thử và gắn owner; không dùng thiết kế/tuyên bố thay bằng chứng vận hành.</x:v>
      </x:c>
      <x:c r="E72" s="11" t="str">
        <x:v>Đang thực hiện</x:v>
      </x:c>
      <x:c r="F72" s="11" t="str">
        <x:v>Quy hoạch đề xuất tách internal 10, tenant 20, Ceph client/cluster 30/31, security 40, API private 70, OOB 99 và portal 100; external/provider và SAN cần chốt. BOM V4 không có Ceph HDD; còn thiếu ACL/firewall/VRF/VXLAN và negative isolation test.</x:v>
      </x:c>
      <x:c r="G72" s="11" t="str">
        <x:v>VRF/VLAN/VXLAN map; firewall/ACL export; isolation tests</x:v>
      </x:c>
      <x:c r="H72" s="11" t="str">
        <x:v>NetOps/Security</x:v>
      </x:c>
      <x:c r="I72" s="11" t="str">
        <x:v>P0</x:v>
      </x:c>
      <x:c r="J72" s="11" t="str">
        <x:v>TCVN 14423:6.12.2.2-6.12.2.4; NĐ 331 Điều 30</x:v>
      </x:c>
    </x:row>
    <x:row r="73" ht="74" customHeight="1">
      <x:c r="A73" s="10" t="str">
        <x:v>C4-NET-03</x:v>
      </x:c>
      <x:c r="B73" s="10" t="str">
        <x:v>Hạ tầng mạng</x:v>
      </x:c>
      <x:c r="C73" s="10" t="str">
        <x:v>Truy cập quản trị từ xa</x:v>
      </x:c>
      <x:c r="D73" s="10" t="str">
        <x:v>Triển khai theo tiêu chí: Qua VPN/ZTNA và bastion/PAM; MFA, thiết bị quản trị được quản lý, giới hạn nguồn/giờ, ghi phiên và chặn split tunnel khi cần. Phương án phải được cấu hình, kiểm thử và gắn owner; không dùng thiết kế/tuyên bố thay bằng chứng vận hành.</x:v>
      </x:c>
      <x:c r="E73" s="10" t="str">
        <x:v>Chưa đánh giá</x:v>
      </x:c>
      <x:c r="F73" s="10" t="str">
        <x:v>Không mở SSH/API quản trị trực tiếp ra Internet.</x:v>
      </x:c>
      <x:c r="G73" s="10" t="str">
        <x:v>Remote access policy; VPN/ZTNA config; session logs; test</x:v>
      </x:c>
      <x:c r="H73" s="10" t="str">
        <x:v>Security/NetOps</x:v>
      </x:c>
      <x:c r="I73" s="10" t="str">
        <x:v>P0</x:v>
      </x:c>
      <x:c r="J73" s="10" t="str">
        <x:v>TCVN 14423:6.12.2.5</x:v>
      </x:c>
    </x:row>
    <x:row r="74" ht="74" customHeight="1">
      <x:c r="A74" s="11" t="str">
        <x:v>C4-NET-04</x:v>
      </x:c>
      <x:c r="B74" s="11" t="str">
        <x:v>Hạ tầng mạng</x:v>
      </x:c>
      <x:c r="C74" s="11" t="str">
        <x:v>Giao thức quản trị an toàn</x:v>
      </x:c>
      <x:c r="D74" s="11" t="str">
        <x:v>Triển khai theo tiêu chí: Dùng SSHv2, HTTPS/TLS, SNMPv3, AAA tập trung; tắt Telnet/HTTP/SNMPv1v2c; quản lý cipher/cert. Phương án phải được cấu hình, kiểm thử và gắn owner; không dùng thiết kế/tuyên bố thay bằng chứng vận hành.</x:v>
      </x:c>
      <x:c r="E74" s="11" t="str">
        <x:v>Chưa đánh giá</x:v>
      </x:c>
      <x:c r="F74" s="11" t="str">
        <x:v>Bao gồm Nexus, Fortigate, iDRAC, switch OOB, PDU và BMS gateway.</x:v>
      </x:c>
      <x:c r="G74" s="11" t="str">
        <x:v>Config compliance; port scan; TLS report</x:v>
      </x:c>
      <x:c r="H74" s="11" t="str">
        <x:v>NetOps/SecOps</x:v>
      </x:c>
      <x:c r="I74" s="11" t="str">
        <x:v>P1</x:v>
      </x:c>
      <x:c r="J74" s="11" t="str">
        <x:v>TCVN 14423:6.12.2.3</x:v>
      </x:c>
    </x:row>
    <x:row r="75" ht="74" customHeight="1">
      <x:c r="A75" s="10" t="str">
        <x:v>C4-NET-05</x:v>
      </x:c>
      <x:c r="B75" s="10" t="str">
        <x:v>Hạ tầng mạng</x:v>
      </x:c>
      <x:c r="C75" s="10" t="str">
        <x:v>Tài nguyên quản trị riêng</x:v>
      </x:c>
      <x:c r="D75" s="10" t="str">
        <x:v>Triển khai theo tiêu chí: Dành riêng bastion, PAM, admin workstation, AAA, DNS/NTP/PKI và kênh OOB; không chạy phụ thuộc vòng trên tenant cloud. Phương án phải được cấu hình, kiểm thử và gắn owner; không dùng thiết kế/tuyên bố thay bằng chứng vận hành.</x:v>
      </x:c>
      <x:c r="E75" s="10" t="str">
        <x:v>Chưa đánh giá</x:v>
      </x:c>
      <x:c r="F75" s="10" t="str">
        <x:v>seed_ha hiện để trống; cần kênh khôi phục độc lập và kiểm thử cold start.</x:v>
      </x:c>
      <x:c r="G75" s="10" t="str">
        <x:v>Admin zone diagram; dependency test; cold-start runbook</x:v>
      </x:c>
      <x:c r="H75" s="10" t="str">
        <x:v>Architecture/NetOps</x:v>
      </x:c>
      <x:c r="I75" s="10" t="str">
        <x:v>P0</x:v>
      </x:c>
      <x:c r="J75" s="10" t="str">
        <x:v>TCVN 14423:6.12.2.6</x:v>
      </x:c>
    </x:row>
    <x:row r="76" ht="74" customHeight="1">
      <x:c r="A76" s="11" t="str">
        <x:v>C4-NET-06</x:v>
      </x:c>
      <x:c r="B76" s="11" t="str">
        <x:v>Hạ tầng mạng</x:v>
      </x:c>
      <x:c r="C76" s="11" t="str">
        <x:v>DDoS/WAF/API protection</x:v>
      </x:c>
      <x:c r="D76" s="11" t="str">
        <x:v>Triển khai theo tiêu chí: Anti-DDoS nhiều lớp, WAF/API gateway, rate limit, bot/credential abuse defense, health check và runbook chuyển hướng/scrubbing. Phương án phải được cấu hình, kiểm thử và gắn owner; không dùng thiết kế/tuyên bố thay bằng chứng vận hành.</x:v>
      </x:c>
      <x:c r="E76" s="11" t="str">
        <x:v>Chưa đánh giá</x:v>
      </x:c>
      <x:c r="F76" s="11" t="str">
        <x:v>Một đường Internet 1 Gbps không chứng minh năng lực DDoS hoặc dự phòng nhà mạng.</x:v>
      </x:c>
      <x:c r="G76" s="11" t="str">
        <x:v>Capacity/contract; WAF rules; rate-limit test; DDoS exercise</x:v>
      </x:c>
      <x:c r="H76" s="11" t="str">
        <x:v>NetOps/SOC</x:v>
      </x:c>
      <x:c r="I76" s="11" t="str">
        <x:v>P0</x:v>
      </x:c>
      <x:c r="J76" s="11" t="str">
        <x:v>TCVN 14423:6.13; NĐ 333</x:v>
      </x:c>
    </x:row>
    <x:row r="77" ht="74" customHeight="1">
      <x:c r="A77" s="10" t="str">
        <x:v>C4-NET-07</x:v>
      </x:c>
      <x:c r="B77" s="10" t="str">
        <x:v>Hạ tầng mạng</x:v>
      </x:c>
      <x:c r="C77" s="10" t="str">
        <x:v>Dự phòng mạng biên</x:v>
      </x:c>
      <x:c r="D77" s="10" t="str">
        <x:v>Triển khai theo tiêu chí: Hai tuyến/nhà mạng độc lập, router/firewall/switch HA, uplink kép, ECMP/BGP hoặc cơ chế tương đương; kiểm thử mất từng thành phần. Phương án phải được cấu hình, kiểm thử và gắn owner; không dùng thiết kế/tuyên bố thay bằng chứng vận hành.</x:v>
      </x:c>
      <x:c r="E77" s="10" t="str">
        <x:v>Không đạt</x:v>
      </x:c>
      <x:c r="F77" s="10" t="str">
        <x:v>BOM có 02 FortiGate 500E và 02 Nexus. OPEX thêm tuyến backup IP Transit/BGP nhưng chưa có hợp đồng/giá; phác thảo vẫn một ISP. Chưa chứng minh hai last-mile độc lập, routing/failover; switch SAN và Access mỗi loại chỉ 01.</x:v>
      </x:c>
      <x:c r="G77" s="10" t="str">
        <x:v>Carrier contracts; route diagram; failover report; packet loss/MTTR</x:v>
      </x:c>
      <x:c r="H77" s="10" t="str">
        <x:v>NetOps/SRE</x:v>
      </x:c>
      <x:c r="I77" s="10" t="str">
        <x:v>P0</x:v>
      </x:c>
      <x:c r="J77" s="10" t="str">
        <x:v>Khả dụng/rủi ro; TCVN 9250</x:v>
      </x:c>
    </x:row>
    <x:row r="78" ht="74" customHeight="1">
      <x:c r="A78" s="11" t="str">
        <x:v>C4-NET-08</x:v>
      </x:c>
      <x:c r="B78" s="11" t="str">
        <x:v>Hạ tầng mạng</x:v>
      </x:c>
      <x:c r="C78" s="11" t="str">
        <x:v>Ánh xạ NIC và băng thông</x:v>
      </x:c>
      <x:c r="D78" s="11" t="str">
        <x:v>Triển khai theo tiêu chí: Mỗi vai trò NIC có cổng vật lý/port-channel hợp lệ, MTU thống nhất, dự phòng uplink và headroom; kiểm thử bonding/LACP/failover. Phương án phải được cấu hình, kiểm thử và gắn owner; không dùng thiết kế/tuyên bố thay bằng chứng vận hành.</x:v>
      </x:c>
      <x:c r="E78" s="11" t="str">
        <x:v>Đang thực hiện</x:v>
      </x:c>
      <x:c r="F78" s="11" t="str">
        <x:v>BOM có 18 NDC 25 Gb, 18 PCI 25 Gb, 09 card LAN dual port, 36 DAC và 26 RJ45, chưa có phân bổ từng máy. Controller 10 Gb và phác thảo 25 Gb chưa thống nhất; mode active–passive/active–active và MTU phải chốt, đo iperf/failover.</x:v>
      </x:c>
      <x:c r="G78" s="11" t="str">
        <x:v>NIC-to-switch map; switch config; iperf/failover results</x:v>
      </x:c>
      <x:c r="H78" s="11" t="str">
        <x:v>NetOps/Platform</x:v>
      </x:c>
      <x:c r="I78" s="11" t="str">
        <x:v>P0</x:v>
      </x:c>
      <x:c r="J78" s="11" t="str">
        <x:v>TCVN 14423:6.12; quản lý cấu hình</x:v>
      </x:c>
    </x:row>
    <x:row r="79" ht="76" customHeight="1">
      <x:c r="A79" s="10" t="str">
        <x:v>C4-MON-01</x:v>
      </x:c>
      <x:c r="B79" s="10" t="str">
        <x:v>Giám sát và phòng thủ</x:v>
      </x:c>
      <x:c r="C79" s="10" t="str">
        <x:v>Firewall/IDS/IPS/NDR</x:v>
      </x:c>
      <x:c r="D79" s="10" t="str">
        <x:v>Triển khai theo tiêu chí: Bật và quản lý tập trung firewall, IDS/IPS/NDR tại biên và vùng trọng yếu; rule có owner, ticket, hết hạn; kiểm thử chữ ký/hành vi. Phương án phải được cấu hình, kiểm thử và gắn owner; không dùng thiết kế/tuyên bố thay bằng chứng vận hành.</x:v>
      </x:c>
      <x:c r="E79" s="10" t="str">
        <x:v>Chưa đánh giá</x:v>
      </x:c>
      <x:c r="F79" s="10" t="str">
        <x:v>Tách firewall tenant self-service và firewall bảo vệ hạ tầng.</x:v>
      </x:c>
      <x:c r="G79" s="10" t="str">
        <x:v>Policy/rule review; coverage map; detection test</x:v>
      </x:c>
      <x:c r="H79" s="10" t="str">
        <x:v>SOC/NetOps</x:v>
      </x:c>
      <x:c r="I79" s="10" t="str">
        <x:v>P0</x:v>
      </x:c>
      <x:c r="J79" s="10" t="str">
        <x:v>TCVN 14423:6.13.2.1-6.13.2.4</x:v>
      </x:c>
    </x:row>
    <x:row r="80" ht="76" customHeight="1">
      <x:c r="A80" s="11" t="str">
        <x:v>C4-MON-02</x:v>
      </x:c>
      <x:c r="B80" s="11" t="str">
        <x:v>Giám sát và phòng thủ</x:v>
      </x:c>
      <x:c r="C80" s="11" t="str">
        <x:v>Telemetry mạng</x:v>
      </x:c>
      <x:c r="D80" s="11" t="str">
        <x:v>Triển khai theo tiêu chí: Thu thập flow, DNS, LB/WAF, firewall, switch và host telemetry; giữ định danh tenant/project và đồng bộ giờ để điều tra cross-tenant. Phương án phải được cấu hình, kiểm thử và gắn owner; không dùng thiết kế/tuyên bố thay bằng chứng vận hành.</x:v>
      </x:c>
      <x:c r="E80" s="11" t="str">
        <x:v>Chưa đánh giá</x:v>
      </x:c>
      <x:c r="F80" s="11" t="str">
        <x:v>Không thu nội dung khách hàng vượt mục đích/pháp lý.</x:v>
      </x:c>
      <x:c r="G80" s="11" t="str">
        <x:v>NetFlow/IPFIX; packet metadata; tenant mapping test</x:v>
      </x:c>
      <x:c r="H80" s="11" t="str">
        <x:v>SOC/NetOps</x:v>
      </x:c>
      <x:c r="I80" s="11" t="str">
        <x:v>P1</x:v>
      </x:c>
      <x:c r="J80" s="11" t="str">
        <x:v>TCVN 14423:6.13.2.4</x:v>
      </x:c>
    </x:row>
    <x:row r="81" ht="76" customHeight="1">
      <x:c r="A81" s="10" t="str">
        <x:v>C4-MON-03</x:v>
      </x:c>
      <x:c r="B81" s="10" t="str">
        <x:v>Giám sát và phòng thủ</x:v>
      </x:c>
      <x:c r="C81" s="10" t="str">
        <x:v>Giám sát khả dụng và capacity</x:v>
      </x:c>
      <x:c r="D81" s="10" t="str">
        <x:v>Triển khai theo tiêu chí: Theo dõi CPU/RAM/disk/IOPS/latency/queue/quorum/cert/time sync/temperature/power; forecast capacity và cảnh báo trước saturation. Phương án phải được cấu hình, kiểm thử và gắn owner; không dùng thiết kế/tuyên bố thay bằng chứng vận hành.</x:v>
      </x:c>
      <x:c r="E81" s="10" t="str">
        <x:v>Chưa đánh giá</x:v>
      </x:c>
      <x:c r="F81" s="10" t="str">
        <x:v>Giám sát tải PDU/rack, cổng 10/25 Gb, Ceph rebuild và Internet 1 Gbps. Rack_Power V4 tính tải ước tính 4,3894 kW và cực đại thiết kế 6,491 kW; 9 kW là công suất hợp đồng đề xuất, không phải số đo tải thực. Cần telemetry và cảnh báo theo tải/độ dự phòng được phê duyệt.</x:v>
      </x:c>
      <x:c r="G81" s="10" t="str">
        <x:v>Monitoring dashboard; thresholds; capacity report; alert tests</x:v>
      </x:c>
      <x:c r="H81" s="10" t="str">
        <x:v>NOC/SRE/DC Ops</x:v>
      </x:c>
      <x:c r="I81" s="10" t="str">
        <x:v>P0</x:v>
      </x:c>
      <x:c r="J81" s="10" t="str">
        <x:v>TCVN 14423:6.13; dự thảo 4.2.8</x:v>
      </x:c>
    </x:row>
    <x:row r="82" ht="74" customHeight="1">
      <x:c r="A82" s="11" t="str">
        <x:v>C4-PEO-01</x:v>
      </x:c>
      <x:c r="B82" s="11" t="str">
        <x:v>Nhân sự và nhà cung cấp</x:v>
      </x:c>
      <x:c r="C82" s="11" t="str">
        <x:v>Bộ phận chuyên trách</x:v>
      </x:c>
      <x:c r="D82" s="11" t="str">
        <x:v>Triển khai theo tiêu chí: Có bộ phận/đầu mối vận hành, quản trị và an ninh mạng; trực 24/7 theo SLA; phân tách nhiệm vụ và kiểm soát chéo. Phương án phải được cấu hình, kiểm thử và gắn owner; không dùng thiết kế/tuyên bố thay bằng chứng vận hành.</x:v>
      </x:c>
      <x:c r="E82" s="11" t="str">
        <x:v>Chưa đánh giá</x:v>
      </x:c>
      <x:c r="F82" s="11" t="str">
        <x:v>Không giao một người toàn quyền IAM, khóa, hạ tầng và audit.</x:v>
      </x:c>
      <x:c r="G82" s="11" t="str">
        <x:v>Sơ đồ tổ chức; JD; RACI; roster/on-call</x:v>
      </x:c>
      <x:c r="H82" s="11" t="str">
        <x:v>Ban điều hành/CISO</x:v>
      </x:c>
      <x:c r="I82" s="11" t="str">
        <x:v>P0</x:v>
      </x:c>
      <x:c r="J82" s="11" t="str">
        <x:v>TCVN 14423:6.14; NĐ 331 Điều 31-33</x:v>
      </x:c>
    </x:row>
    <x:row r="83" ht="76" customHeight="1">
      <x:c r="A83" s="10" t="str">
        <x:v>C4-PEO-02</x:v>
      </x:c>
      <x:c r="B83" s="10" t="str">
        <x:v>Nhân sự và nhà cung cấp</x:v>
      </x:c>
      <x:c r="C83" s="10" t="str">
        <x:v>Đào tạo theo vai trò</x:v>
      </x:c>
      <x:c r="D83" s="10" t="str">
        <x:v>Triển khai theo tiêu chí: Đào tạo nhận thức và đào tạo chuyên sâu theo vai trò tối thiểu hàng năm; kiểm tra năng lực cho admin, SOC, SRE, developer và DC operator. Phương án phải được cấu hình, kiểm thử và gắn owner; không dùng thiết kế/tuyên bố thay bằng chứng vận hành.</x:v>
      </x:c>
      <x:c r="E83" s="10" t="str">
        <x:v>Chưa đánh giá</x:v>
      </x:c>
      <x:c r="F83" s="10" t="str">
        <x:v>Bao gồm thao tác phá hủy, cô lập tenant, bảo toàn chứng cứ và PCCC.</x:v>
      </x:c>
      <x:c r="G83" s="10" t="str">
        <x:v>Training plan; attendance; test result; competency matrix</x:v>
      </x:c>
      <x:c r="H83" s="10" t="str">
        <x:v>HR/CISO</x:v>
      </x:c>
      <x:c r="I83" s="10" t="str">
        <x:v>P1</x:v>
      </x:c>
      <x:c r="J83" s="10" t="str">
        <x:v>TCVN 14423:6.14.2</x:v>
      </x:c>
    </x:row>
    <x:row r="84" ht="76" customHeight="1">
      <x:c r="A84" s="11" t="str">
        <x:v>C4-PEO-03</x:v>
      </x:c>
      <x:c r="B84" s="11" t="str">
        <x:v>Nhân sự và nhà cung cấp</x:v>
      </x:c>
      <x:c r="C84" s="11" t="str">
        <x:v>Kiểm kê và phân loại nhà cung cấp</x:v>
      </x:c>
      <x:c r="D84" s="11" t="str">
        <x:v>Triển khai theo tiêu chí: Lập danh mục colo, ISP, phần cứng, phần mềm, MSSP, backup, KMS và subprocessor; phân loại criticality/data access/failure dependency. Phương án phải được cấu hình, kiểm thử và gắn owner; không dùng thiết kế/tuyên bố thay bằng chứng vận hành.</x:v>
      </x:c>
      <x:c r="E84" s="11" t="str">
        <x:v>Chưa đánh giá</x:v>
      </x:c>
      <x:c r="F84" s="11" t="str">
        <x:v>Theo dõi hỗ trợ và nguồn linh kiện cho Dell R630, Nexus và Fortigate.</x:v>
      </x:c>
      <x:c r="G84" s="11" t="str">
        <x:v>Vendor register; due diligence; dependency map</x:v>
      </x:c>
      <x:c r="H84" s="11" t="str">
        <x:v>Procurement/GRC</x:v>
      </x:c>
      <x:c r="I84" s="11" t="str">
        <x:v>P1</x:v>
      </x:c>
      <x:c r="J84" s="11" t="str">
        <x:v>TCVN 14423:6.15</x:v>
      </x:c>
    </x:row>
    <x:row r="85" ht="74" customHeight="1">
      <x:c r="A85" s="10" t="str">
        <x:v>C4-PEO-04</x:v>
      </x:c>
      <x:c r="B85" s="10" t="str">
        <x:v>Nhân sự và nhà cung cấp</x:v>
      </x:c>
      <x:c r="C85" s="10" t="str">
        <x:v>Điều khoản bảo mật nhà cung cấp</x:v>
      </x:c>
      <x:c r="D85" s="10" t="str">
        <x:v>Triển khai theo tiêu chí: Hợp đồng quy định SLA, bảo mật, DPA, audit, thông báo sự cố, vá lỗi, BCP/DR, subprocessor, data exit/xóa và hỗ trợ điều tra. Phương án phải được cấu hình, kiểm thử và gắn owner; không dùng thiết kế/tuyên bố thay bằng chứng vận hành.</x:v>
      </x:c>
      <x:c r="E85" s="10" t="str">
        <x:v>Chưa đánh giá</x:v>
      </x:c>
      <x:c r="F85" s="10" t="str">
        <x:v>Đảm bảo quyền lấy bằng chứng DC/colo và kết quả diễn tập.</x:v>
      </x:c>
      <x:c r="G85" s="10" t="str">
        <x:v>Security schedule; DPA; SLA; right-to-audit; exit plan</x:v>
      </x:c>
      <x:c r="H85" s="10" t="str">
        <x:v>Legal/Procurement</x:v>
      </x:c>
      <x:c r="I85" s="10" t="str">
        <x:v>P0</x:v>
      </x:c>
      <x:c r="J85" s="10" t="str">
        <x:v>TCVN 14423:6.15.2</x:v>
      </x:c>
    </x:row>
    <x:row r="86" ht="74" customHeight="1">
      <x:c r="A86" s="11" t="str">
        <x:v>C4-PEO-05</x:v>
      </x:c>
      <x:c r="B86" s="11" t="str">
        <x:v>Nhân sự và nhà cung cấp</x:v>
      </x:c>
      <x:c r="C86" s="11" t="str">
        <x:v>Giám sát và kết thúc hợp đồng</x:v>
      </x:c>
      <x:c r="D86" s="11" t="str">
        <x:v>Triển khai theo tiêu chí: Theo dõi SLA/rủi ro/certification; thu hồi truy cập, lấy/xóa dữ liệu, chuyển giao cấu hình và bằng chứng khi chấm dứt. Phương án phải được cấu hình, kiểm thử và gắn owner; không dùng thiết kế/tuyên bố thay bằng chứng vận hành.</x:v>
      </x:c>
      <x:c r="E86" s="11" t="str">
        <x:v>Chưa đánh giá</x:v>
      </x:c>
      <x:c r="F86" s="11" t="str">
        <x:v>Không phụ thuộc độc quyền mà thiếu export/restore test.</x:v>
      </x:c>
      <x:c r="G86" s="11" t="str">
        <x:v>Vendor review; offboarding checklist; deletion certificate</x:v>
      </x:c>
      <x:c r="H86" s="11" t="str">
        <x:v>GRC/Procurement</x:v>
      </x:c>
      <x:c r="I86" s="11" t="str">
        <x:v>P1</x:v>
      </x:c>
      <x:c r="J86" s="11" t="str">
        <x:v>TCVN 14423:6.15</x:v>
      </x:c>
    </x:row>
    <x:row r="87" ht="74" customHeight="1">
      <x:c r="A87" s="10" t="str">
        <x:v>C4-IR-01</x:v>
      </x:c>
      <x:c r="B87" s="10" t="str">
        <x:v>Ứng phó và liên tục</x:v>
      </x:c>
      <x:c r="C87" s="10" t="str">
        <x:v>Lực lượng và đầu mối ứng phó</x:v>
      </x:c>
      <x:c r="D87" s="10" t="str">
        <x:v>Triển khai theo tiêu chí: Thành lập CSIRT, đầu mối nội bộ/khách hàng/ISP/DC/cơ quan chuyên trách; xác minh danh bạ hàng năm và có kênh ngoài băng. Phương án phải được cấu hình, kiểm thử và gắn owner; không dùng thiết kế/tuyên bố thay bằng chứng vận hành.</x:v>
      </x:c>
      <x:c r="E87" s="10" t="str">
        <x:v>Chưa đánh giá</x:v>
      </x:c>
      <x:c r="F87" s="10" t="str">
        <x:v>Áp dụng cả sự cố an ninh, data breach, mất DC, lỗi diện rộng và abuse.</x:v>
      </x:c>
      <x:c r="G87" s="10" t="str">
        <x:v>Decision; contact tree; out-of-band channel test</x:v>
      </x:c>
      <x:c r="H87" s="10" t="str">
        <x:v>CISO/SOC</x:v>
      </x:c>
      <x:c r="I87" s="10" t="str">
        <x:v>P0</x:v>
      </x:c>
      <x:c r="J87" s="10" t="str">
        <x:v>TCVN 14423:6.16/6.17; NĐ 333</x:v>
      </x:c>
    </x:row>
    <x:row r="88" ht="74" customHeight="1">
      <x:c r="A88" s="11" t="str">
        <x:v>C4-IR-02</x:v>
      </x:c>
      <x:c r="B88" s="11" t="str">
        <x:v>Ứng phó và liên tục</x:v>
      </x:c>
      <x:c r="C88" s="11" t="str">
        <x:v>Playbook sự cố</x:v>
      </x:c>
      <x:c r="D88" s="11" t="str">
        <x:v>Triển khai theo tiêu chí: Có playbook phát hiện, phân loại, cô lập, bảo toàn hiện trường/chứng cứ, khắc phục, phục hồi, truyền thông và báo cáo. Phương án phải được cấu hình, kiểm thử và gắn owner; không dùng thiết kế/tuyên bố thay bằng chứng vận hành.</x:v>
      </x:c>
      <x:c r="E88" s="11" t="str">
        <x:v>Chưa đánh giá</x:v>
      </x:c>
      <x:c r="F88" s="11" t="str">
        <x:v>Playbook riêng cho credential leak, hypervisor escape, cross-tenant, ransomware, DDoS và mất quorum.</x:v>
      </x:c>
      <x:c r="G88" s="11" t="str">
        <x:v>IR plan; playbooks; case record; evidence handling</x:v>
      </x:c>
      <x:c r="H88" s="11" t="str">
        <x:v>SOC/SRE/Legal</x:v>
      </x:c>
      <x:c r="I88" s="11" t="str">
        <x:v>P0</x:v>
      </x:c>
      <x:c r="J88" s="11" t="str">
        <x:v>TCVN 14423:6.16/6.17; NĐ 333 Điều 9</x:v>
      </x:c>
    </x:row>
    <x:row r="89" ht="74" customHeight="1">
      <x:c r="A89" s="10" t="str">
        <x:v>C4-IR-03</x:v>
      </x:c>
      <x:c r="B89" s="10" t="str">
        <x:v>Ứng phó và liên tục</x:v>
      </x:c>
      <x:c r="C89" s="10" t="str">
        <x:v>Diễn tập và hậu kiểm</x:v>
      </x:c>
      <x:c r="D89" s="10" t="str">
        <x:v>Triển khai theo tiêu chí: Diễn tập tối thiểu hàng năm, gồm kỹ thuật và lãnh đạo; đánh giá sau sự cố/diễn tập, theo dõi hành động tới khi đóng. Phương án phải được cấu hình, kiểm thử và gắn owner; không dùng thiết kế/tuyên bố thay bằng chứng vận hành.</x:v>
      </x:c>
      <x:c r="E89" s="10" t="str">
        <x:v>Chưa đánh giá</x:v>
      </x:c>
      <x:c r="F89" s="10" t="str">
        <x:v>Kịch bản nên có failover DC/ISP/storage/control plane và yêu cầu pháp lý.</x:v>
      </x:c>
      <x:c r="G89" s="10" t="str">
        <x:v>Exercise report; timeline; lessons learned; action tracker</x:v>
      </x:c>
      <x:c r="H89" s="10" t="str">
        <x:v>CISO/BCM</x:v>
      </x:c>
      <x:c r="I89" s="10" t="str">
        <x:v>P0</x:v>
      </x:c>
      <x:c r="J89" s="10" t="str">
        <x:v>TCVN 14423:6.17.2.5-6.17.2.7</x:v>
      </x:c>
    </x:row>
    <x:row r="90" ht="76" customHeight="1">
      <x:c r="A90" s="11" t="str">
        <x:v>C4-IR-04</x:v>
      </x:c>
      <x:c r="B90" s="11" t="str">
        <x:v>Ứng phó và liên tục</x:v>
      </x:c>
      <x:c r="C90" s="11" t="str">
        <x:v>BIA/BCP/DR</x:v>
      </x:c>
      <x:c r="D90" s="11" t="str">
        <x:v>Triển khai theo tiêu chí: BIA xác định dịch vụ trọng yếu, MTPD, RTO/RPO, phụ thuộc và thứ tự phục hồi; BCP/DR có site, runbook, quyền, dữ liệu và tiêu chí tuyên bố thảm họa. Phương án phải được cấu hình, kiểm thử và gắn owner; không dùng thiết kế/tuyên bố thay bằng chứng vận hành.</x:v>
      </x:c>
      <x:c r="E90" s="11" t="str">
        <x:v>Chưa đánh giá</x:v>
      </x:c>
      <x:c r="F90" s="11" t="str">
        <x:v>Một rack tại một DC không xử lý được sự cố mất site.</x:v>
      </x:c>
      <x:c r="G90" s="11" t="str">
        <x:v>BIA; BCP/DR plan; dependency map; exercise evidence</x:v>
      </x:c>
      <x:c r="H90" s="11" t="str">
        <x:v>BCM/SRE</x:v>
      </x:c>
      <x:c r="I90" s="11" t="str">
        <x:v>P0</x:v>
      </x:c>
      <x:c r="J90" s="11" t="str">
        <x:v>TCVN 14423:6.11; quản lý rủi ro</x:v>
      </x:c>
    </x:row>
    <x:row r="91" ht="74" customHeight="1">
      <x:c r="A91" s="10" t="str">
        <x:v>C4-DEV-01</x:v>
      </x:c>
      <x:c r="B91" s="10" t="str">
        <x:v>DevSecOps và kiểm thử</x:v>
      </x:c>
      <x:c r="C91" s="10" t="str">
        <x:v>SDLC an toàn</x:v>
      </x:c>
      <x:c r="D91" s="10" t="str">
        <x:v>Triển khai theo tiêu chí: Threat modeling, coding standard, peer review, SAST/SCA/secret/IaC scan, test, ký artifact, approval và rollback trước production. Phương án phải được cấu hình, kiểm thử và gắn owner; không dùng thiết kế/tuyên bố thay bằng chứng vận hành.</x:v>
      </x:c>
      <x:c r="E91" s="10" t="str">
        <x:v>Đang thực hiện</x:v>
      </x:c>
      <x:c r="F91" s="10" t="str">
        <x:v>Trivy chứng minh đã quét vulnerability/misconfiguration/secret, đối chiếu digest và có SBOM/provenance cho lab; gate vẫn FAIL và chưa có đầy đủ threat model, SAST, approval, rollback và pipeline production.</x:v>
      </x:c>
      <x:c r="G91" s="10" t="str">
        <x:v>SDLC; pipeline evidence; security gates; release approval</x:v>
      </x:c>
      <x:c r="H91" s="10" t="str">
        <x:v>Engineering/DevSecOps</x:v>
      </x:c>
      <x:c r="I91" s="10" t="str">
        <x:v>P0</x:v>
      </x:c>
      <x:c r="J91" s="10" t="str">
        <x:v>TCVN 14423:6.16.2.1</x:v>
      </x:c>
    </x:row>
    <x:row r="92" ht="74" customHeight="1">
      <x:c r="A92" s="11" t="str">
        <x:v>C4-DEV-02</x:v>
      </x:c>
      <x:c r="B92" s="11" t="str">
        <x:v>DevSecOps và kiểm thử</x:v>
      </x:c>
      <x:c r="C92" s="11" t="str">
        <x:v>Tiếp nhận lỗ hổng và RCA</x:v>
      </x:c>
      <x:c r="D92" s="11" t="str">
        <x:v>Triển khai theo tiêu chí: Có kênh disclosure, triage/SLA, phối hợp CVE; phân tích nguyên nhân gốc và phòng tái diễn cho lỗ hổng nghiêm trọng. Phương án phải được cấu hình, kiểm thử và gắn owner; không dùng thiết kế/tuyên bố thay bằng chứng vận hành.</x:v>
      </x:c>
      <x:c r="E92" s="11" t="str">
        <x:v>Chưa đánh giá</x:v>
      </x:c>
      <x:c r="F92" s="11" t="str">
        <x:v>Cho phép khách hàng/bên nghiên cứu báo cáo an toàn.</x:v>
      </x:c>
      <x:c r="G92" s="11" t="str">
        <x:v>VDP; ticket; RCA; regression test</x:v>
      </x:c>
      <x:c r="H92" s="11" t="str">
        <x:v>Product Security</x:v>
      </x:c>
      <x:c r="I92" s="11" t="str">
        <x:v>P1</x:v>
      </x:c>
      <x:c r="J92" s="11" t="str">
        <x:v>TCVN 14423:6.16.2.2-6.16.2.4</x:v>
      </x:c>
    </x:row>
    <x:row r="93" ht="74" customHeight="1">
      <x:c r="A93" s="10" t="str">
        <x:v>C4-DEV-03</x:v>
      </x:c>
      <x:c r="B93" s="10" t="str">
        <x:v>DevSecOps và kiểm thử</x:v>
      </x:c>
      <x:c r="C93" s="10" t="str">
        <x:v>Tách dev/test/prod</x:v>
      </x:c>
      <x:c r="D93" s="10" t="str">
        <x:v>Triển khai theo tiêu chí: Tách tài khoản, mạng, dữ liệu, secrets, CI runner và quyền triển khai; cấm dùng dữ liệu thật ở test nếu chưa bảo vệ phù hợp. Phương án phải được cấu hình, kiểm thử và gắn owner; không dùng thiết kế/tuyên bố thay bằng chứng vận hành.</x:v>
      </x:c>
      <x:c r="E93" s="10" t="str">
        <x:v>Chưa đánh giá</x:v>
      </x:c>
      <x:c r="F93" s="10" t="str">
        <x:v>Production change qua pipeline/approval, không sửa tay không lưu dấu vết.</x:v>
      </x:c>
      <x:c r="G93" s="10" t="str">
        <x:v>Environment diagram; IAM; network test; data masking</x:v>
      </x:c>
      <x:c r="H93" s="10" t="str">
        <x:v>Engineering/Security</x:v>
      </x:c>
      <x:c r="I93" s="10" t="str">
        <x:v>P0</x:v>
      </x:c>
      <x:c r="J93" s="10" t="str">
        <x:v>TCVN 14423:6.16.2.5</x:v>
      </x:c>
    </x:row>
    <x:row r="94" ht="76" customHeight="1">
      <x:c r="A94" s="11" t="str">
        <x:v>C4-DEV-04</x:v>
      </x:c>
      <x:c r="B94" s="11" t="str">
        <x:v>DevSecOps và kiểm thử</x:v>
      </x:c>
      <x:c r="C94" s="11" t="str">
        <x:v>Chương trình pentest</x:v>
      </x:c>
      <x:c r="D94" s="11" t="str">
        <x:v>Triển khai theo tiêu chí: Phạm vi/phương pháp/thời gian/đầu mối và bảo vệ dữ liệu được phê duyệt; kiểm thử Internet-facing tối thiểu hàng năm; khắc phục và re-test. Phương án phải được cấu hình, kiểm thử và gắn owner; không dùng thiết kế/tuyên bố thay bằng chứng vận hành.</x:v>
      </x:c>
      <x:c r="E94" s="11" t="str">
        <x:v>Chưa đánh giá</x:v>
      </x:c>
      <x:c r="F94" s="11" t="str">
        <x:v>Trivy là quét lỗ hổng/cấu hình/secret, không phải pentest; không kiểm thử DAST, API authorization, tenant escape, runtime traffic hoặc management plane. Vẫn cần pentest độc lập và re-test.</x:v>
      </x:c>
      <x:c r="G94" s="11" t="str">
        <x:v>Rules of engagement; pentest report; remediation/re-test</x:v>
      </x:c>
      <x:c r="H94" s="11" t="str">
        <x:v>Security</x:v>
      </x:c>
      <x:c r="I94" s="11" t="str">
        <x:v>P0</x:v>
      </x:c>
      <x:c r="J94" s="11" t="str">
        <x:v>TCVN 14423:6.18.2.1-6.18.2.4</x:v>
      </x:c>
    </x:row>
    <x:row r="95" ht="74" customHeight="1">
      <x:c r="A95" s="10" t="str">
        <x:v>C4-DEV-05</x:v>
      </x:c>
      <x:c r="B95" s="10" t="str">
        <x:v>DevSecOps và kiểm thử</x:v>
      </x:c>
      <x:c r="C95" s="10" t="str">
        <x:v>Pentest nội bộ</x:v>
      </x:c>
      <x:c r="D95" s="10" t="str">
        <x:v>Triển khai theo tiêu chí: Thực hiện pentest nội bộ tối thiểu hàng năm đối với tài nguyên nội bộ và vùng quản trị; theo dõi khắc phục/re-test. Phương án phải được cấu hình, kiểm thử và gắn owner; không dùng thiết kế/tuyên bố thay bằng chứng vận hành.</x:v>
      </x:c>
      <x:c r="E95" s="10" t="str">
        <x:v>Chưa đánh giá</x:v>
      </x:c>
      <x:c r="F95" s="10" t="str">
        <x:v>Báo cáo Trivy không thay thế pentest nội bộ/lateral movement. Cần phạm vi nội bộ, rules of engagement, báo cáo khai thác, remediation và re-test riêng.</x:v>
      </x:c>
      <x:c r="G95" s="10" t="str">
        <x:v>Internal pentest; lateral movement report; re-test</x:v>
      </x:c>
      <x:c r="H95" s="10" t="str">
        <x:v>Security</x:v>
      </x:c>
      <x:c r="I95" s="10" t="str">
        <x:v>P0</x:v>
      </x:c>
      <x:c r="J95" s="10" t="str">
        <x:v>TCVN 14423:6.18.2.5</x:v>
      </x:c>
    </x:row>
    <x:row r="96" ht="74" customHeight="1">
      <x:c r="A96" s="11" t="str">
        <x:v>C4-CLD-01</x:v>
      </x:c>
      <x:c r="B96" s="11" t="str">
        <x:v>OpenStack và multi-tenant</x:v>
      </x:c>
      <x:c r="C96" s="11" t="str">
        <x:v>Đối soát topology as-built</x:v>
      </x:c>
      <x:c r="D96" s="11" t="str">
        <x:v>Triển khai theo tiêu chí: Chốt số node/vai trò/AZ/failure domain; tự động kiểm tra inventory với CMDB và hồ sơ thiết kế trước triển khai. Phương án phải được cấu hình, kiểm thử và gắn owner; không dùng thiết kế/tuyên bố thay bằng chứng vận hành.</x:v>
      </x:c>
      <x:c r="E96" s="11" t="str">
        <x:v>Đang thực hiện</x:v>
      </x:c>
      <x:c r="F96" s="11" t="str">
        <x:v>BOM V4 mục tiêu 09 server: 03 Controller (1–2 SEED), 03 Compute, 03 Ceph SSD; thêm 01 SAN. Không còn node Network riêng/Ceph HDD. Bundle 07 node chưa được thay bằng inventory và nghiệm thu thống nhất.</x:v>
      </x:c>
      <x:c r="G96" s="11" t="str">
        <x:v>Kolla inventory; CMDB diff; as-built; acceptance sign-off</x:v>
      </x:c>
      <x:c r="H96" s="11" t="str">
        <x:v>Platform/PMO</x:v>
      </x:c>
      <x:c r="I96" s="11" t="str">
        <x:v>P0</x:v>
      </x:c>
      <x:c r="J96" s="11" t="str">
        <x:v>Quản lý tài sản/cấu hình</x:v>
      </x:c>
    </x:row>
    <x:row r="97" ht="76" customHeight="1">
      <x:c r="A97" s="10" t="str">
        <x:v>C4-CLD-02</x:v>
      </x:c>
      <x:c r="B97" s="10" t="str">
        <x:v>OpenStack và multi-tenant</x:v>
      </x:c>
      <x:c r="C97" s="10" t="str">
        <x:v>Ảo hóa phần cứng</x:v>
      </x:c>
      <x:c r="D97" s="10" t="str">
        <x:v>Triển khai theo tiêu chí: Dùng KVM/hardware virtualization, kiểm tra VT-x/AMD-V/IOMMU, CPU model compatibility và live migration; qemu software emulation chỉ cho lab/ngoại lệ. Phương án phải được cấu hình, kiểm thử và gắn owner; không dùng thiết kế/tuyên bố thay bằng chứng vận hành.</x:v>
      </x:c>
      <x:c r="E97" s="10" t="str">
        <x:v>Đang thực hiện</x:v>
      </x:c>
      <x:c r="F97" s="10" t="str">
        <x:v>Topology và phương án xác định compute chạy KVM; site-config hiện vẫn ghi qemu. Cần Nova config, CPU flags VT-x/AMD-V/IOMMU, benchmark và migration compatibility test.</x:v>
      </x:c>
      <x:c r="G97" s="10" t="str">
        <x:v>Nova config; CPU flags; performance benchmark; migration matrix</x:v>
      </x:c>
      <x:c r="H97" s="10" t="str">
        <x:v>Platform</x:v>
      </x:c>
      <x:c r="I97" s="10" t="str">
        <x:v>P1</x:v>
      </x:c>
      <x:c r="J97" s="10" t="str">
        <x:v>Dự thảo 4.2.2, 4.2.8</x:v>
      </x:c>
    </x:row>
    <x:row r="98" ht="76" customHeight="1">
      <x:c r="A98" s="11" t="str">
        <x:v>C4-CLD-03</x:v>
      </x:c>
      <x:c r="B98" s="11" t="str">
        <x:v>OpenStack và multi-tenant</x:v>
      </x:c>
      <x:c r="C98" s="11" t="str">
        <x:v>HA control plane</x:v>
      </x:c>
      <x:c r="D98" s="11" t="str">
        <x:v>Triển khai theo tiêu chí: Ba controller duy trì quorum; Galera/RabbitMQ/HAProxy/Keepalived và API services chạy HA, giám sát split-brain/quorum và kiểm thử mất từng node. Phương án phải được cấu hình, kiểm thử và gắn owner; không dùng thiết kế/tuyên bố thay bằng chứng vận hành.</x:v>
      </x:c>
      <x:c r="E98" s="11" t="str">
        <x:v>Đang thực hiện</x:v>
      </x:c>
      <x:c r="F98" s="11" t="str">
        <x:v>Topology có 3 controller và mô tả MariaDB/RabbitMQ, HAProxy/Keepalived; chưa có quorum dashboard, node-loss, split-brain hoặc cold-start test.</x:v>
      </x:c>
      <x:c r="G98" s="11" t="str">
        <x:v>HA design; quorum dashboard; node-loss test; recovery runbook</x:v>
      </x:c>
      <x:c r="H98" s="11" t="str">
        <x:v>Platform/SRE</x:v>
      </x:c>
      <x:c r="I98" s="11" t="str">
        <x:v>P0</x:v>
      </x:c>
      <x:c r="J98" s="11" t="str">
        <x:v>TCVN 14423:6.12-6.13; dự thảo 4.2.8</x:v>
      </x:c>
    </x:row>
    <x:row r="99" ht="76" customHeight="1">
      <x:c r="A99" s="10" t="str">
        <x:v>C4-CLD-04</x:v>
      </x:c>
      <x:c r="B99" s="10" t="str">
        <x:v>OpenStack và multi-tenant</x:v>
      </x:c>
      <x:c r="C99" s="10" t="str">
        <x:v>HA network node</x:v>
      </x:c>
      <x:c r="D99" s="10" t="str">
        <x:v>Triển khai theo tiêu chí: Hai network node active/active hoặc active/standby có state sync phù hợp; kiểm thử L3/DHCP/metadata/NAT/LB failover và session impact. Phương án phải được cấu hình, kiểm thử và gắn owner; không dùng thiết kế/tuyên bố thay bằng chứng vận hành.</x:v>
      </x:c>
      <x:c r="E99" s="10" t="str">
        <x:v>Đang thực hiện</x:v>
      </x:c>
      <x:c r="F99" s="10" t="str">
        <x:v>BOM V4 không có 02 network node riêng; Server 4–6 là Compute, một số cột cũ còn ghi Network. Network agent/gateway đồng vị trí là đề xuất, chưa chốt placement/HA/Neutron/OVN, uplink và kiểm thử L3/DHCP/metadata/NAT.</x:v>
      </x:c>
      <x:c r="G99" s="10" t="str">
        <x:v>Neutron agents; HA router state; failover test</x:v>
      </x:c>
      <x:c r="H99" s="10" t="str">
        <x:v>Platform/NetOps</x:v>
      </x:c>
      <x:c r="I99" s="10" t="str">
        <x:v>P0</x:v>
      </x:c>
      <x:c r="J99" s="10" t="str">
        <x:v>TCVN 14423:6.12-6.13</x:v>
      </x:c>
    </x:row>
    <x:row r="100" ht="76" customHeight="1">
      <x:c r="A100" s="11" t="str">
        <x:v>C4-CLD-05</x:v>
      </x:c>
      <x:c r="B100" s="11" t="str">
        <x:v>OpenStack và multi-tenant</x:v>
      </x:c>
      <x:c r="C100" s="11" t="str">
        <x:v>Backend lưu trữ HA</x:v>
      </x:c>
      <x:c r="D100" s="11" t="str">
        <x:v>Triển khai theo tiêu chí: Dùng storage phân tán/shared có replication, quorum và failure domain độc lập; hoặc công bố rõ local-volume không HA kèm replication/backup và giới hạn dịch vụ. Phương án phải được cấu hình, kiểm thử và gắn owner; không dùng thiết kế/tuyên bố thay bằng chứng vận hành.</x:v>
      </x:c>
      <x:c r="E100" s="11" t="str">
        <x:v>Đang thực hiện</x:v>
      </x:c>
      <x:c r="F100" s="11" t="str">
        <x:v>Mục tiêu 03 Ceph SSD với 10 ổ 1,92 TB phân bố 4/3/3, VLAN client/cluster 30/31 đề xuất; 01 SAN 24 × 600 GB SAS cần chốt backend, RAID, giao thức và MPIO. Bundle vẫn LVM/no-Ceph; thiếu production config, usable capacity và disk/node/path-loss test.</x:v>
      </x:c>
      <x:c r="G100" s="11" t="str">
        <x:v>Storage design; replica/failure-domain map; disk/node-loss test; SLA</x:v>
      </x:c>
      <x:c r="H100" s="11" t="str">
        <x:v>Storage/Architecture</x:v>
      </x:c>
      <x:c r="I100" s="11" t="str">
        <x:v>P0</x:v>
      </x:c>
      <x:c r="J100" s="11" t="str">
        <x:v>TCVN 14423:6.11-6.13; dự thảo 4.2.8</x:v>
      </x:c>
    </x:row>
    <x:row r="101" ht="76" customHeight="1">
      <x:c r="A101" s="10" t="str">
        <x:v>C4-CLD-06</x:v>
      </x:c>
      <x:c r="B101" s="10" t="str">
        <x:v>OpenStack và multi-tenant</x:v>
      </x:c>
      <x:c r="C101" s="10" t="str">
        <x:v>Live migration và maintenance</x:v>
      </x:c>
      <x:c r="D101" s="10" t="str">
        <x:v>Triển khai theo tiêu chí: Xác định phạm vi CPU/storage hỗ trợ live migration, host maintenance, evacuation và rollback; kiểm thử không gián đoạn theo service tier. Phương án phải được cấu hình, kiểm thử và gắn owner; không dùng thiết kế/tuyên bố thay bằng chứng vận hành.</x:v>
      </x:c>
      <x:c r="E101" s="10" t="str">
        <x:v>Đang thực hiện</x:v>
      </x:c>
      <x:c r="F101" s="10" t="str">
        <x:v>Thiết kế KVM + Ceph tạo tiền đề cho shared storage/live migration; vẫn cần CPU compatibility matrix, migration/evacuation/maintenance test và downtime thực đo.</x:v>
      </x:c>
      <x:c r="G101" s="10" t="str">
        <x:v>Migration matrix; maintenance test; achieved downtime</x:v>
      </x:c>
      <x:c r="H101" s="10" t="str">
        <x:v>Platform/SRE</x:v>
      </x:c>
      <x:c r="I101" s="10" t="str">
        <x:v>P1</x:v>
      </x:c>
      <x:c r="J101" s="10" t="str">
        <x:v>Dự thảo 4.2.8.2.5-4.2.8.2.14</x:v>
      </x:c>
    </x:row>
    <x:row r="102" ht="74" customHeight="1">
      <x:c r="A102" s="11" t="str">
        <x:v>C4-CLD-07</x:v>
      </x:c>
      <x:c r="B102" s="11" t="str">
        <x:v>OpenStack và multi-tenant</x:v>
      </x:c>
      <x:c r="C102" s="11" t="str">
        <x:v>Keystone federation và policy</x:v>
      </x:c>
      <x:c r="D102" s="11" t="str">
        <x:v>Triển khai theo tiêu chí: Tích hợp IdP, MFA, domain/project isolation, application credential, token lifetime/revocation; kiểm thử RBAC ở từng API. Phương án phải được cấu hình, kiểm thử và gắn owner; không dùng thiết kế/tuyên bố thay bằng chứng vận hành.</x:v>
      </x:c>
      <x:c r="E102" s="11" t="str">
        <x:v>Chưa đánh giá</x:v>
      </x:c>
      <x:c r="F102" s="11" t="str">
        <x:v>Tách admin domain, service users và tenant users.</x:v>
      </x:c>
      <x:c r="G102" s="11" t="str">
        <x:v>Keystone config; policy tests; token/MFA evidence</x:v>
      </x:c>
      <x:c r="H102" s="11" t="str">
        <x:v>IAM/Platform</x:v>
      </x:c>
      <x:c r="I102" s="11" t="str">
        <x:v>P0</x:v>
      </x:c>
      <x:c r="J102" s="11" t="str">
        <x:v>TCVN 14423:6.6; dự thảo 4.2.4</x:v>
      </x:c>
    </x:row>
    <x:row r="103" ht="74" customHeight="1">
      <x:c r="A103" s="10" t="str">
        <x:v>C4-CLD-08</x:v>
      </x:c>
      <x:c r="B103" s="10" t="str">
        <x:v>OpenStack và multi-tenant</x:v>
      </x:c>
      <x:c r="C103" s="10" t="str">
        <x:v>Barbican/KMS/HSM</x:v>
      </x:c>
      <x:c r="D103" s="10" t="str">
        <x:v>Triển khai theo tiêu chí: Quản lý khóa volume/image/secret bằng KMS tách biệt; rotation/revocation/backup; HSM cho khóa chủ theo mục tiêu cấp 4. Phương án phải được cấu hình, kiểm thử và gắn owner; không dùng thiết kế/tuyên bố thay bằng chứng vận hành.</x:v>
      </x:c>
      <x:c r="E103" s="10" t="str">
        <x:v>Chưa đánh giá</x:v>
      </x:c>
      <x:c r="F103" s="10" t="str">
        <x:v>Không để khóa và dữ liệu cùng failure/administrative domain.</x:v>
      </x:c>
      <x:c r="G103" s="10" t="str">
        <x:v>KMS architecture; key lifecycle; restore/revoke test</x:v>
      </x:c>
      <x:c r="H103" s="10" t="str">
        <x:v>Security/Platform</x:v>
      </x:c>
      <x:c r="I103" s="10" t="str">
        <x:v>P0</x:v>
      </x:c>
      <x:c r="J103" s="10" t="str">
        <x:v>TCVN 14423:6.4; dự thảo 4.2.5, 5.4</x:v>
      </x:c>
    </x:row>
    <x:row r="104" ht="76" customHeight="1">
      <x:c r="A104" s="11" t="str">
        <x:v>C4-CLD-09</x:v>
      </x:c>
      <x:c r="B104" s="11" t="str">
        <x:v>OpenStack và multi-tenant</x:v>
      </x:c>
      <x:c r="C104" s="11" t="str">
        <x:v>Bảo vệ metadata service</x:v>
      </x:c>
      <x:c r="D104" s="11" t="str">
        <x:v>Triển khai theo tiêu chí: Ngăn truy cập metadata giữa tenant/VM; dùng cơ chế xác thực; không để platform credential/chi tiết hạ tầng; cho tenant vô hiệu hóa khi cần. Phương án phải được cấu hình, kiểm thử và gắn owner; không dùng thiết kế/tuyên bố thay bằng chứng vận hành.</x:v>
      </x:c>
      <x:c r="E104" s="11" t="str">
        <x:v>Chưa đánh giá</x:v>
      </x:c>
      <x:c r="F104" s="11" t="str">
        <x:v>Kiểm thử đường 169.254.169.254 và proxy/agent metadata của Neutron.</x:v>
      </x:c>
      <x:c r="G104" s="11" t="str">
        <x:v>Metadata config; cross-tenant negative test; SSRF test</x:v>
      </x:c>
      <x:c r="H104" s="11" t="str">
        <x:v>Platform/Security</x:v>
      </x:c>
      <x:c r="I104" s="11" t="str">
        <x:v>P0</x:v>
      </x:c>
      <x:c r="J104" s="11" t="str">
        <x:v>Dự thảo 4.2.2.2.10</x:v>
      </x:c>
    </x:row>
    <x:row r="105" ht="74" customHeight="1">
      <x:c r="A105" s="10" t="str">
        <x:v>C4-CLD-10</x:v>
      </x:c>
      <x:c r="B105" s="10" t="str">
        <x:v>OpenStack và multi-tenant</x:v>
      </x:c>
      <x:c r="C105" s="10" t="str">
        <x:v>Neutron anti-spoof và security group</x:v>
      </x:c>
      <x:c r="D105" s="10" t="str">
        <x:v>Triển khai theo tiêu chí: Default deny, port security, anti-spoof MAC/IP, RA/DHCP guard, tenant/project isolation và log enforcement tại nguồn. Phương án phải được cấu hình, kiểm thử và gắn owner; không dùng thiết kế/tuyên bố thay bằng chứng vận hành.</x:v>
      </x:c>
      <x:c r="E105" s="10" t="str">
        <x:v>Chưa đánh giá</x:v>
      </x:c>
      <x:c r="F105" s="10" t="str">
        <x:v>Kiểm thử east-west, shared network, provider network, trunk và allowed-address-pair.</x:v>
      </x:c>
      <x:c r="G105" s="10" t="str">
        <x:v>Neutron policy; cross-tenant test; flow/security logs</x:v>
      </x:c>
      <x:c r="H105" s="10" t="str">
        <x:v>Platform/NetOps</x:v>
      </x:c>
      <x:c r="I105" s="10" t="str">
        <x:v>P0</x:v>
      </x:c>
      <x:c r="J105" s="10" t="str">
        <x:v>TCVN 14423:6.12-6.13; dự thảo 4.2.3</x:v>
      </x:c>
    </x:row>
    <x:row r="106" ht="76" customHeight="1">
      <x:c r="A106" s="11" t="str">
        <x:v>C4-CLD-11</x:v>
      </x:c>
      <x:c r="B106" s="11" t="str">
        <x:v>OpenStack và multi-tenant</x:v>
      </x:c>
      <x:c r="C106" s="11" t="str">
        <x:v>Glance image trust</x:v>
      </x:c>
      <x:c r="D106" s="11" t="str">
        <x:v>Triển khai theo tiêu chí: Chỉ publish image có nguồn, checksum/chữ ký, scan sạch theo policy, baseline và lịch cập nhật; tenant image có quarantine/scan phù hợp. Phương án phải được cấu hình, kiểm thử và gắn owner; không dùng thiết kế/tuyên bố thay bằng chứng vận hành.</x:v>
      </x:c>
      <x:c r="E106" s="11" t="str">
        <x:v>Chưa đánh giá</x:v>
      </x:c>
      <x:c r="F106" s="11" t="str">
        <x:v>Kiểm soát cả image Fedora CoreOS/k8s-airgap trong cấu hình.</x:v>
      </x:c>
      <x:c r="G106" s="11" t="str">
        <x:v>Image catalog; signed metadata; scan result; update log</x:v>
      </x:c>
      <x:c r="H106" s="11" t="str">
        <x:v>Platform/DevSecOps</x:v>
      </x:c>
      <x:c r="I106" s="11" t="str">
        <x:v>P0</x:v>
      </x:c>
      <x:c r="J106" s="11" t="str">
        <x:v>TCVN 14423:6.3, 6.7; dự thảo 4.2.2.2.5</x:v>
      </x:c>
    </x:row>
    <x:row r="107" ht="74" customHeight="1">
      <x:c r="A107" s="10" t="str">
        <x:v>C4-CLD-12</x:v>
      </x:c>
      <x:c r="B107" s="10" t="str">
        <x:v>OpenStack và multi-tenant</x:v>
      </x:c>
      <x:c r="C107" s="10" t="str">
        <x:v>Cinder mã hóa và xóa an toàn</x:v>
      </x:c>
      <x:c r="D107" s="10" t="str">
        <x:v>Triển khai theo tiêu chí: Mã hóa volume theo tier, secure erase/crypto erase khi thu hồi, kiểm soát snapshot/clone/export và ghi bằng chứng xóa. Phương án phải được cấu hình, kiểm thử và gắn owner; không dùng thiết kế/tuyên bố thay bằng chứng vận hành.</x:v>
      </x:c>
      <x:c r="E107" s="10" t="str">
        <x:v>Chưa đánh giá</x:v>
      </x:c>
      <x:c r="F107" s="10" t="str">
        <x:v>Local LVM cần chứng minh zeroization giữa tenant và xử lý SSD/TRIM/snapshot.</x:v>
      </x:c>
      <x:c r="G107" s="10" t="str">
        <x:v>Cinder type/config; KMS; deletion test/log; tenant isolation test</x:v>
      </x:c>
      <x:c r="H107" s="10" t="str">
        <x:v>Storage/Security</x:v>
      </x:c>
      <x:c r="I107" s="10" t="str">
        <x:v>P0</x:v>
      </x:c>
      <x:c r="J107" s="10" t="str">
        <x:v>TCVN 14423:6.4, 6.11; dự thảo 4.2.7</x:v>
      </x:c>
    </x:row>
    <x:row r="108" ht="76" customHeight="1">
      <x:c r="A108" s="11" t="str">
        <x:v>C4-CLD-13</x:v>
      </x:c>
      <x:c r="B108" s="11" t="str">
        <x:v>OpenStack và multi-tenant</x:v>
      </x:c>
      <x:c r="C108" s="11" t="str">
        <x:v>Nova placement và failure domain</x:v>
      </x:c>
      <x:c r="D108" s="11" t="str">
        <x:v>Triển khai theo tiêu chí: Dùng host aggregate/AZ, anti-affinity, quota và resource reservation; không đặt replica của cùng dịch vụ vào cùng host/PDU/switch path. Phương án phải được cấu hình, kiểm thử và gắn owner; không dùng thiết kế/tuyên bố thay bằng chứng vận hành.</x:v>
      </x:c>
      <x:c r="E108" s="11" t="str">
        <x:v>Đang thực hiện</x:v>
      </x:c>
      <x:c r="F108" s="11" t="str">
        <x:v>BOM V4 có 03 Compute và 03 Ceph SSD, thêm 01 SAN; không còn 06 Ceph node. Cần AZ/host aggregate, anti-affinity, placement cho network đồng vị trí, ánh xạ PDU/switch/fabric/failure domain, quota/reservation và kiểm thử N+1 khi mất host/path.</x:v>
      </x:c>
      <x:c r="G108" s="11" t="str">
        <x:v>Placement config; failure-domain map; scheduling tests</x:v>
      </x:c>
      <x:c r="H108" s="11" t="str">
        <x:v>Platform/SRE</x:v>
      </x:c>
      <x:c r="I108" s="11" t="str">
        <x:v>P1</x:v>
      </x:c>
      <x:c r="J108" s="11" t="str">
        <x:v>Dự thảo 4.2.8</x:v>
      </x:c>
    </x:row>
    <x:row r="109" ht="74" customHeight="1">
      <x:c r="A109" s="10" t="str">
        <x:v>C4-CLD-14</x:v>
      </x:c>
      <x:c r="B109" s="10" t="str">
        <x:v>OpenStack và multi-tenant</x:v>
      </x:c>
      <x:c r="C109" s="10" t="str">
        <x:v>Quota, rate limit và chống noisy neighbor</x:v>
      </x:c>
      <x:c r="D109" s="10" t="str">
        <x:v>Triển khai theo tiêu chí: Quota theo tenant; giới hạn CPU/RAM/IOPS/bandwidth/API; cảnh báo saturation; fairness queue và capacity reserve. Phương án phải được cấu hình, kiểm thử và gắn owner; không dùng thiết kế/tuyên bố thay bằng chứng vận hành.</x:v>
      </x:c>
      <x:c r="E109" s="10" t="str">
        <x:v>Chưa đánh giá</x:v>
      </x:c>
      <x:c r="F109" s="10" t="str">
        <x:v>Công bố overcommit và giới hạn gói; tránh overcommit RAM cho dịch vụ yêu cầu cao.</x:v>
      </x:c>
      <x:c r="G109" s="10" t="str">
        <x:v>Quota policy; rate-limit test; noisy-neighbor benchmark</x:v>
      </x:c>
      <x:c r="H109" s="10" t="str">
        <x:v>Product/Platform</x:v>
      </x:c>
      <x:c r="I109" s="10" t="str">
        <x:v>P1</x:v>
      </x:c>
      <x:c r="J109" s="10" t="str">
        <x:v>Dự thảo 4.2.8.2.11-4.2.8.2.13</x:v>
      </x:c>
    </x:row>
    <x:row r="110" ht="74" customHeight="1">
      <x:c r="A110" s="11" t="str">
        <x:v>C4-CLD-15</x:v>
      </x:c>
      <x:c r="B110" s="11" t="str">
        <x:v>OpenStack và multi-tenant</x:v>
      </x:c>
      <x:c r="C110" s="11" t="str">
        <x:v>Metering và billing có truy vết</x:v>
      </x:c>
      <x:c r="D110" s="11" t="str">
        <x:v>Triển khai theo tiêu chí: Đo usage theo tenant, đồng bộ giờ, chống trùng/mất bản ghi, đối soát với resource state; phân tách quyền sửa giá/usage/hóa đơn. Phương án phải được cấu hình, kiểm thử và gắn owner; không dùng thiết kế/tuyên bố thay bằng chứng vận hành.</x:v>
      </x:c>
      <x:c r="E110" s="11" t="str">
        <x:v>Chưa đánh giá</x:v>
      </x:c>
      <x:c r="F110" s="11" t="str">
        <x:v>Billing dispute phải truy ngược được tới event/resource ID.</x:v>
      </x:c>
      <x:c r="G110" s="11" t="str">
        <x:v>Metering reconciliation; audit logs; billing controls</x:v>
      </x:c>
      <x:c r="H110" s="11" t="str">
        <x:v>FinOps/Product</x:v>
      </x:c>
      <x:c r="I110" s="11" t="str">
        <x:v>P1</x:v>
      </x:c>
      <x:c r="J110" s="11" t="str">
        <x:v>Luật VT; kiểm soát toàn vẹn/log</x:v>
      </x:c>
    </x:row>
    <x:row r="111" ht="74" customHeight="1">
      <x:c r="A111" s="10" t="str">
        <x:v>C4-CLD-16</x:v>
      </x:c>
      <x:c r="B111" s="10" t="str">
        <x:v>OpenStack và multi-tenant</x:v>
      </x:c>
      <x:c r="C111" s="10" t="str">
        <x:v>Tên miền/IP production</x:v>
      </x:c>
      <x:c r="D111" s="10" t="str">
        <x:v>Triển khai theo tiêu chí: Thay toàn bộ example/test CIDR, domain, NS và credential; xác minh quyền sở hữu IP/ASN/domain, DNSSEC khi phù hợp và TLS public. Phương án phải được cấu hình, kiểm thử và gắn owner; không dùng thiết kế/tuyên bố thay bằng chứng vận hành.</x:v>
      </x:c>
      <x:c r="E111" s="10" t="str">
        <x:v>Không đạt</x:v>
      </x:c>
      <x:c r="F111" s="10" t="str">
        <x:v>site-config còn 203.0.113.0/24, cloud.example.com và ns1.example.com.</x:v>
      </x:c>
      <x:c r="G111" s="10" t="str">
        <x:v>Production IP/domain plan; DNS/TLS validation; config scan</x:v>
      </x:c>
      <x:c r="H111" s="10" t="str">
        <x:v>NetOps/Platform</x:v>
      </x:c>
      <x:c r="I111" s="10" t="str">
        <x:v>P0</x:v>
      </x:c>
      <x:c r="J111" s="10" t="str">
        <x:v>Quản lý cấu hình/an toàn mạng</x:v>
      </x:c>
    </x:row>
    <x:row r="112" ht="76" customHeight="1">
      <x:c r="A112" s="11" t="str">
        <x:v>C4-CLD-17</x:v>
      </x:c>
      <x:c r="B112" s="11" t="str">
        <x:v>OpenStack và multi-tenant</x:v>
      </x:c>
      <x:c r="C112" s="11" t="str">
        <x:v>Seed/khôi phục độc lập</x:v>
      </x:c>
      <x:c r="D112" s="11" t="str">
        <x:v>Triển khai theo tiêu chí: Có seed/bastion/repository/credential escrow đủ để dựng lại control plane khi toàn bộ nền tảng dừng; không phụ thuộc vòng và kiểm thử định kỳ. Phương án phải được cấu hình, kiểm thử và gắn owner; không dùng thiết kế/tuyên bố thay bằng chứng vận hành.</x:v>
      </x:c>
      <x:c r="E112" s="11" t="str">
        <x:v>Đang thực hiện</x:v>
      </x:c>
      <x:c r="F112" s="11" t="str">
        <x:v>Topology có seed01/seed02 và phương án đặt SEED trên Controller 1-2; tính độc lập khi control plane mất toàn bộ chưa rõ, site-config seed_ha còn trống. Cần cold-start/restore drill.</x:v>
      </x:c>
      <x:c r="G112" s="11" t="str">
        <x:v>Cold-start runbook; offline artifacts; restore drill</x:v>
      </x:c>
      <x:c r="H112" s="11" t="str">
        <x:v>SRE/Platform</x:v>
      </x:c>
      <x:c r="I112" s="11" t="str">
        <x:v>P0</x:v>
      </x:c>
      <x:c r="J112" s="11" t="str">
        <x:v>Dự thảo 4.2.8.2.1</x:v>
      </x:c>
    </x:row>
    <x:row r="113" ht="76" customHeight="1">
      <x:c r="A113" s="10" t="str">
        <x:v>C4-DC-01</x:v>
      </x:c>
      <x:c r="B113" s="10" t="str">
        <x:v>Trung tâm dữ liệu</x:v>
      </x:c>
      <x:c r="C113" s="10" t="str">
        <x:v>Chọn chuẩn và mức bảo đảm DC</x:v>
      </x:c>
      <x:c r="D113" s="10" t="str">
        <x:v>Triển khai theo tiêu chí: Chọn một trong TCVN 9250:2021, ANSI/TIA-942-B:2017, ANSI/TIA-942-C:2024 hoặc Tier của Uptime Institute; xác định mức/rating theo BIA và SLA. Phương án phải được cấu hình, kiểm thử và gắn owner; không dùng thiết kế/tuyên bố thay bằng chứng vận hành.</x:v>
      </x:c>
      <x:c r="E113" s="10" t="str">
        <x:v>Đang thực hiện</x:v>
      </x:c>
      <x:c r="F113" s="10" t="str">
        <x:v>Site Nam Thăng Long vẫn là giả định chưa chốt hợp đồng/rack. Bản công bố 20/10/2023 nêu Tier III TCDD thiết kế, không nêu TCCF. OPEX V4 dẫn báo giá Vdigicom; tên bên báo giá chưa chứng minh site và nhà vận hành thực tế. Cần hợp đồng, địa chỉ/phạm vi site và hồ sơ DC hiện hành.</x:v>
      </x:c>
      <x:c r="G113" s="10" t="str">
        <x:v>Quyết định chuẩn; gap assessment; design/certification scope</x:v>
      </x:c>
      <x:c r="H113" s="10" t="str">
        <x:v>DC Owner/Architecture</x:v>
      </x:c>
      <x:c r="I113" s="10" t="str">
        <x:v>P0</x:v>
      </x:c>
      <x:c r="J113" s="10" t="str">
        <x:v>TT 42 Điều 3-5</x:v>
      </x:c>
    </x:row>
    <x:row r="114" ht="76" customHeight="1">
      <x:c r="A114" s="11" t="str">
        <x:v>C4-DC-02</x:v>
      </x:c>
      <x:c r="B114" s="11" t="str">
        <x:v>Trung tâm dữ liệu</x:v>
      </x:c>
      <x:c r="C114" s="11" t="str">
        <x:v>Công bố phù hợp DC</x:v>
      </x:c>
      <x:c r="D114" s="11" t="str">
        <x:v>Triển khai theo tiêu chí: Trước khai thác thương mại, hoàn tất tự đánh giá/chứng nhận theo chuẩn đã chọn, công bố phù hợp, gửi/đăng thông tin theo quy định và duy trì hồ sơ. Phương án phải được cấu hình, kiểm thử và gắn owner; không dùng thiết kế/tuyên bố thay bằng chứng vận hành.</x:v>
      </x:c>
      <x:c r="E114" s="11" t="str">
        <x:v>Cần xác minh</x:v>
      </x:c>
      <x:c r="F114" s="11" t="str">
        <x:v>Đã có bản công bố năm 2023 cho Nam Thăng Long; cần chứng minh còn phù hợp TT 42/2025, đã gửi/đăng và đúng phòng/rack. ISO 9001 có NTL đã hết hạn; các ISO 9001/50001 khác, ISO 27001 và PCI DSS không đúng site/phạm vi hoặc đã hết hạn.</x:v>
      </x:c>
      <x:c r="G114" s="11" t="str">
        <x:v>Bản công bố; báo cáo đánh giá/chứng nhận; bằng chứng gửi và đăng website</x:v>
      </x:c>
      <x:c r="H114" s="11" t="str">
        <x:v>DC Owner/Legal</x:v>
      </x:c>
      <x:c r="I114" s="11" t="str">
        <x:v>P0</x:v>
      </x:c>
      <x:c r="J114" s="11" t="str">
        <x:v>TT 42 Điều 5 và Phụ lục</x:v>
      </x:c>
    </x:row>
    <x:row r="115" ht="74" customHeight="1">
      <x:c r="A115" s="10" t="str">
        <x:v>C4-DC-03</x:v>
      </x:c>
      <x:c r="B115" s="10" t="str">
        <x:v>Trung tâm dữ liệu</x:v>
      </x:c>
      <x:c r="C115" s="10" t="str">
        <x:v>Chống sét và tiếp đất</x:v>
      </x:c>
      <x:c r="D115" s="10" t="str">
        <x:v>Triển khai theo tiêu chí: Tuân thủ QCVN 32:2020/BTTTT và QCVN 9:2016/BTTTT; đo, nghiệm thu, kiểm định/bảo trì và quản lý thay đổi. Phương án phải được cấu hình, kiểm thử và gắn owner; không dùng thiết kế/tuyên bố thay bằng chứng vận hành.</x:v>
      </x:c>
      <x:c r="E115" s="10" t="str">
        <x:v>Chưa đánh giá</x:v>
      </x:c>
      <x:c r="F115" s="10" t="str">
        <x:v>Đối soát SPD, chống sét lan truyền và nối đất rack/thiết bị.</x:v>
      </x:c>
      <x:c r="G115" s="10" t="str">
        <x:v>Thiết kế; biên bản đo/kiểm tra; sơ đồ bonding/grounding; lịch bảo trì</x:v>
      </x:c>
      <x:c r="H115" s="10" t="str">
        <x:v>DC Ops/M&amp;E</x:v>
      </x:c>
      <x:c r="I115" s="10" t="str">
        <x:v>P0</x:v>
      </x:c>
      <x:c r="J115" s="10" t="str">
        <x:v>TT 42 Điều 4</x:v>
      </x:c>
    </x:row>
    <x:row r="116" ht="76" customHeight="1">
      <x:c r="A116" s="11" t="str">
        <x:v>C4-DC-04</x:v>
      </x:c>
      <x:c r="B116" s="11" t="str">
        <x:v>Trung tâm dữ liệu</x:v>
      </x:c>
      <x:c r="C116" s="11" t="str">
        <x:v>Vị trí và rủi ro môi trường</x:v>
      </x:c>
      <x:c r="D116" s="11" t="str">
        <x:v>Triển khai theo tiêu chí: Không đặt phòng máy ở tầng cao, tầng hầm hoặc dưới nơi chứa nước; tránh khu dễ cháy, kho dầu và nguồn điện/từ trường mạnh; đánh giá lũ, động đất, giao thông và lân cận. Phương án phải được cấu hình, kiểm thử và gắn owner; không dùng thiết kế/tuyên bố thay bằng chứng vận hành.</x:v>
      </x:c>
      <x:c r="E116" s="11" t="str">
        <x:v>Chưa đánh giá</x:v>
      </x:c>
      <x:c r="F116" s="11" t="str">
        <x:v>Kiểm tra cả tuyến điện/cáp và vị trí máy phát/bồn nhiên liệu.</x:v>
      </x:c>
      <x:c r="G116" s="11" t="str">
        <x:v>Site risk assessment; bản vẽ mặt bằng/cao độ; BIA</x:v>
      </x:c>
      <x:c r="H116" s="11" t="str">
        <x:v>DC Owner/M&amp;E</x:v>
      </x:c>
      <x:c r="I116" s="11" t="str">
        <x:v>P0</x:v>
      </x:c>
      <x:c r="J116" s="11" t="str">
        <x:v>TCVN 14423 Phụ lục A.4.1</x:v>
      </x:c>
    </x:row>
    <x:row r="117" ht="76" customHeight="1">
      <x:c r="A117" s="10" t="str">
        <x:v>C4-DC-05</x:v>
      </x:c>
      <x:c r="B117" s="10" t="str">
        <x:v>Trung tâm dữ liệu</x:v>
      </x:c>
      <x:c r="C117" s="10" t="str">
        <x:v>Kiểm soát ra vào</x:v>
      </x:c>
      <x:c r="D117" s="10" t="str">
        <x:v>Triển khai theo tiêu chí: Cổng điện tử, nhật ký, camera tập trung giám sát 24/7 lưu tối thiểu 06 tháng; vành đai; camera và tủ bảo vệ cho máy chủ/thiết bị mạng quan trọng. Phương án phải được cấu hình, kiểm thử và gắn owner; không dùng thiết kế/tuyên bố thay bằng chứng vận hành.</x:v>
      </x:c>
      <x:c r="E117" s="10" t="str">
        <x:v>Chưa đánh giá</x:v>
      </x:c>
      <x:c r="F117" s="10" t="str">
        <x:v>Phân quyền theo khu/rack; quy trình cấp quyền tạm thời và thu hồi.</x:v>
      </x:c>
      <x:c r="G117" s="10" t="str">
        <x:v>Access logs; CCTV retention/config; visitor/media log; access review</x:v>
      </x:c>
      <x:c r="H117" s="10" t="str">
        <x:v>Physical Security</x:v>
      </x:c>
      <x:c r="I117" s="10" t="str">
        <x:v>P0</x:v>
      </x:c>
      <x:c r="J117" s="10" t="str">
        <x:v>TCVN 14423 Phụ lục A.4.2</x:v>
      </x:c>
    </x:row>
    <x:row r="118" ht="74" customHeight="1">
      <x:c r="A118" s="11" t="str">
        <x:v>C4-DC-06</x:v>
      </x:c>
      <x:c r="B118" s="11" t="str">
        <x:v>Trung tâm dữ liệu</x:v>
      </x:c>
      <x:c r="C118" s="11" t="str">
        <x:v>Chống trộm/phá hoại và cáp</x:v>
      </x:c>
      <x:c r="D118" s="11" t="str">
        <x:v>Triển khai theo tiêu chí: Rack cố định, khóa, gắn nhãn; cáp đi ngầm/ống bảo vệ; báo động chống trộm tự động và giám sát mở cửa/tamper. Phương án phải được cấu hình, kiểm thử và gắn owner; không dùng thiết kế/tuyên bố thay bằng chứng vận hành.</x:v>
      </x:c>
      <x:c r="E118" s="11" t="str">
        <x:v>Chưa đánh giá</x:v>
      </x:c>
      <x:c r="F118" s="11" t="str">
        <x:v>Cấp 4 yêu cầu báo động dùng quang điện hoặc kỹ thuật tương đương.</x:v>
      </x:c>
      <x:c r="G118" s="11" t="str">
        <x:v>Rack/cabling inspection; alarm test; photo/asset labels</x:v>
      </x:c>
      <x:c r="H118" s="11" t="str">
        <x:v>DC Ops/Physical Security</x:v>
      </x:c>
      <x:c r="I118" s="11" t="str">
        <x:v>P1</x:v>
      </x:c>
      <x:c r="J118" s="11" t="str">
        <x:v>TCVN 14423 Phụ lục A.4.3</x:v>
      </x:c>
    </x:row>
    <x:row r="119" ht="76" customHeight="1">
      <x:c r="A119" s="10" t="str">
        <x:v>C4-DC-07</x:v>
      </x:c>
      <x:c r="B119" s="10" t="str">
        <x:v>Trung tâm dữ liệu</x:v>
      </x:c>
      <x:c r="C119" s="10" t="str">
        <x:v>PCCC tự động</x:v>
      </x:c>
      <x:c r="D119" s="10" t="str">
        <x:v>Triển khai theo tiêu chí: Cảnh báo/chữa cháy tự động, tín hiệu âm thanh và ánh sáng; vật liệu chịu lửa; khu máy chủ/thiết bị mạng quan trọng cách ly và có biện pháp cách lửa. Phương án phải được cấu hình, kiểm thử và gắn owner; không dùng thiết kế/tuyên bố thay bằng chứng vận hành.</x:v>
      </x:c>
      <x:c r="E119" s="10" t="str">
        <x:v>Chưa đánh giá</x:v>
      </x:c>
      <x:c r="F119" s="10" t="str">
        <x:v>Thiết kế clean agent/VESDA/EPO/cửa chống cháy theo hồ sơ được cơ quan có thẩm quyền duyệt.</x:v>
      </x:c>
      <x:c r="G119" s="10" t="str">
        <x:v>Thiết kế thẩm duyệt; nghiệm thu; cause-effect test; maintenance; drill</x:v>
      </x:c>
      <x:c r="H119" s="10" t="str">
        <x:v>DC Owner/PCCC</x:v>
      </x:c>
      <x:c r="I119" s="10" t="str">
        <x:v>P0</x:v>
      </x:c>
      <x:c r="J119" s="10" t="str">
        <x:v>TCVN 14423 Phụ lục A.4.5; pháp luật PCCC</x:v>
      </x:c>
    </x:row>
    <x:row r="120" ht="74" customHeight="1">
      <x:c r="A120" s="11" t="str">
        <x:v>C4-DC-08</x:v>
      </x:c>
      <x:c r="B120" s="11" t="str">
        <x:v>Trung tâm dữ liệu</x:v>
      </x:c>
      <x:c r="C120" s="11" t="str">
        <x:v>Chống thấm/rò nước</x:v>
      </x:c>
      <x:c r="D120" s="11" t="str">
        <x:v>Triển khai theo tiêu chí: Không có ống nước qua trần/sàn phòng máy; ngăn nước mưa, phát hiện rò rỉ và có phương án thoát/di chuyển nước tích tụ. Phương án phải được cấu hình, kiểm thử và gắn owner; không dùng thiết kế/tuyên bố thay bằng chứng vận hành.</x:v>
      </x:c>
      <x:c r="E120" s="11" t="str">
        <x:v>Chưa đánh giá</x:v>
      </x:c>
      <x:c r="F120" s="11" t="str">
        <x:v>Đặt cảm biến dưới sàn, gần CRAC và tuyến ống; tích hợp BMS/NOC.</x:v>
      </x:c>
      <x:c r="G120" s="11" t="str">
        <x:v>MEP drawings; leak sensor map/test; inspection record</x:v>
      </x:c>
      <x:c r="H120" s="11" t="str">
        <x:v>DC Ops/M&amp;E</x:v>
      </x:c>
      <x:c r="I120" s="11" t="str">
        <x:v>P0</x:v>
      </x:c>
      <x:c r="J120" s="11" t="str">
        <x:v>TCVN 14423 Phụ lục A.4.6</x:v>
      </x:c>
    </x:row>
    <x:row r="121" ht="74" customHeight="1">
      <x:c r="A121" s="10" t="str">
        <x:v>C4-DC-09</x:v>
      </x:c>
      <x:c r="B121" s="10" t="str">
        <x:v>Trung tâm dữ liệu</x:v>
      </x:c>
      <x:c r="C121" s="10" t="str">
        <x:v>Chống tĩnh điện</x:v>
      </x:c>
      <x:c r="D121" s="10" t="str">
        <x:v>Triển khai theo tiêu chí: Chống tĩnh điện cho mọi thiết bị trong phòng máy và sàn chống tĩnh điện; đo/kiểm tra định kỳ. Phương án phải được cấu hình, kiểm thử và gắn owner; không dùng thiết kế/tuyên bố thay bằng chứng vận hành.</x:v>
      </x:c>
      <x:c r="E121" s="10" t="str">
        <x:v>Chưa đánh giá</x:v>
      </x:c>
      <x:c r="F121" s="10" t="str">
        <x:v>Kiểm soát ESD khi bảo trì/thay linh kiện.</x:v>
      </x:c>
      <x:c r="G121" s="10" t="str">
        <x:v>Floor specification; grounding/bonding test; inspection</x:v>
      </x:c>
      <x:c r="H121" s="10" t="str">
        <x:v>DC Ops/M&amp;E</x:v>
      </x:c>
      <x:c r="I121" s="10" t="str">
        <x:v>P1</x:v>
      </x:c>
      <x:c r="J121" s="10" t="str">
        <x:v>TCVN 14423 Phụ lục A.4.7</x:v>
      </x:c>
    </x:row>
    <x:row r="122" ht="76" customHeight="1">
      <x:c r="A122" s="11" t="str">
        <x:v>C4-DC-10</x:v>
      </x:c>
      <x:c r="B122" s="11" t="str">
        <x:v>Trung tâm dữ liệu</x:v>
      </x:c>
      <x:c r="C122" s="11" t="str">
        <x:v>Nhiệt độ, độ ẩm và làm mát</x:v>
      </x:c>
      <x:c r="D122" s="11" t="str">
        <x:v>Triển khai theo tiêu chí: Điều hòa phòng máy riêng hoàn toàn hệ thống tòa nhà; đo/cảnh báo độ ẩm; có hút ẩm; theo dõi 24/7 và dự phòng phù hợp tải. Phương án phải được cấu hình, kiểm thử và gắn owner; không dùng thiết kế/tuyên bố thay bằng chứng vận hành.</x:v>
      </x:c>
      <x:c r="E122" s="11" t="str">
        <x:v>Chưa đánh giá</x:v>
      </x:c>
      <x:c r="F122" s="11" t="str">
        <x:v>Rack_Power V4 tính tải ước tính 4,3894 kW và cực đại thiết kế 6,491 kW; 9 kW là công suất hợp đồng đề xuất. Chưa có đo tải PDU hoặc hồ sơ cooling tại site. Cần containment, airflow phù hợp từng model, dự phòng N+1 và kiểm thử ở tải được phê duyệt.</x:v>
      </x:c>
      <x:c r="G122" s="11" t="str">
        <x:v>CFD/thermal survey; sensor calibration; trend/alarm; failover test</x:v>
      </x:c>
      <x:c r="H122" s="11" t="str">
        <x:v>DC Ops/M&amp;E</x:v>
      </x:c>
      <x:c r="I122" s="11" t="str">
        <x:v>P0</x:v>
      </x:c>
      <x:c r="J122" s="11" t="str">
        <x:v>TCVN 14423 Phụ lục A.4.8; TCVN 9250</x:v>
      </x:c>
    </x:row>
    <x:row r="123" ht="76" customHeight="1">
      <x:c r="A123" s="10" t="str">
        <x:v>C4-DC-11</x:v>
      </x:c>
      <x:c r="B123" s="10" t="str">
        <x:v>Trung tâm dữ liệu</x:v>
      </x:c>
      <x:c r="C123" s="10" t="str">
        <x:v>Nguồn điện và UPS</x:v>
      </x:c>
      <x:c r="D123" s="10" t="str">
        <x:v>Triển khai theo tiêu chí: Nguồn ổn định/chống quá tải; hai nguồn kéo từ hai trạm điện khác nhau; UPS cho toàn bộ thiết bị hệ thống/máy chủ và kiểm thử chuyển nguồn. Phương án phải được cấu hình, kiểm thử và gắn owner; không dùng thiết kế/tuyên bố thay bằng chứng vận hành.</x:v>
      </x:c>
      <x:c r="E123" s="10" t="str">
        <x:v>Cần xác minh</x:v>
      </x:c>
      <x:c r="F123" s="10" t="str">
        <x:v>Rack_Power V4 đề xuất 6 kW cơ sở + 01 block 3 kW = 9 kW; OPEX còn công thức #REF!, chưa chứng minh công suất đã ký. Chưa có A/B feed hoặc số đo UPS/generator autonomy; cần hợp đồng điện, single-line, PDU mapping và load/failover test.</x:v>
      </x:c>
      <x:c r="G123" s="10" t="str">
        <x:v>Single-line diagram; utility evidence; UPS runtime/load test; ATS test</x:v>
      </x:c>
      <x:c r="H123" s="10" t="str">
        <x:v>DC Ops/M&amp;E</x:v>
      </x:c>
      <x:c r="I123" s="10" t="str">
        <x:v>P0</x:v>
      </x:c>
      <x:c r="J123" s="10" t="str">
        <x:v>TCVN 14423 Phụ lục A.4.9</x:v>
      </x:c>
    </x:row>
    <x:row r="124" ht="76" customHeight="1">
      <x:c r="A124" s="11" t="str">
        <x:v>C4-DC-12</x:v>
      </x:c>
      <x:c r="B124" s="11" t="str">
        <x:v>Trung tâm dữ liệu</x:v>
      </x:c>
      <x:c r="C124" s="11" t="str">
        <x:v>Phân phối điện A/B</x:v>
      </x:c>
      <x:c r="D124" s="11" t="str">
        <x:v>Triển khai theo tiêu chí: Dual PSU của server/network nối PDU A/B khác nhau; breaker/circuit có headroom và chọn lọc bảo vệ; đo tải từng nhánh, không chung điểm lỗi. Phương án phải được cấu hình, kiểm thử và gắn owner; không dùng thiết kế/tuyên bố thay bằng chứng vận hành.</x:v>
      </x:c>
      <x:c r="E124" s="11" t="str">
        <x:v>Chưa đánh giá</x:v>
      </x:c>
      <x:c r="F124" s="11" t="str">
        <x:v>Kiểm tra cả Fortigate, Nexus, storage, console và OOB.</x:v>
      </x:c>
      <x:c r="G124" s="11" t="str">
        <x:v>Rack elevation; PDU mapping; breaker study; failover test</x:v>
      </x:c>
      <x:c r="H124" s="11" t="str">
        <x:v>DC Ops/M&amp;E</x:v>
      </x:c>
      <x:c r="I124" s="11" t="str">
        <x:v>P0</x:v>
      </x:c>
      <x:c r="J124" s="11" t="str">
        <x:v>TCVN 9250/chuẩn DC đã chọn</x:v>
      </x:c>
    </x:row>
    <x:row r="125" ht="76" customHeight="1">
      <x:c r="A125" s="10" t="str">
        <x:v>C4-DC-13</x:v>
      </x:c>
      <x:c r="B125" s="10" t="str">
        <x:v>Trung tâm dữ liệu</x:v>
      </x:c>
      <x:c r="C125" s="10" t="str">
        <x:v>Máy phát và nhiên liệu</x:v>
      </x:c>
      <x:c r="D125" s="10" t="str">
        <x:v>Triển khai theo tiêu chí: Có máy phát, ATS, nhiên liệu/tiếp nhiên liệu và định mức runtime theo BIA; chạy thử có tải, giám sát chất lượng nhiên liệu và hợp đồng tiếp tế. Phương án phải được cấu hình, kiểm thử và gắn owner; không dùng thiết kế/tuyên bố thay bằng chứng vận hành.</x:v>
      </x:c>
      <x:c r="E125" s="10" t="str">
        <x:v>Chưa đánh giá</x:v>
      </x:c>
      <x:c r="F125" s="10" t="str">
        <x:v>Kịch bản mất điện kéo dài phải bao gồm cooling, security, network và staff.</x:v>
      </x:c>
      <x:c r="G125" s="10" t="str">
        <x:v>Generator load test; fuel plan; ATS logs; vendor contract</x:v>
      </x:c>
      <x:c r="H125" s="10" t="str">
        <x:v>DC Ops/M&amp;E</x:v>
      </x:c>
      <x:c r="I125" s="10" t="str">
        <x:v>P0</x:v>
      </x:c>
      <x:c r="J125" s="10" t="str">
        <x:v>TCVN 9250/chuẩn DC đã chọn</x:v>
      </x:c>
    </x:row>
    <x:row r="126" ht="74" customHeight="1">
      <x:c r="A126" s="11" t="str">
        <x:v>C4-DC-14</x:v>
      </x:c>
      <x:c r="B126" s="11" t="str">
        <x:v>Trung tâm dữ liệu</x:v>
      </x:c>
      <x:c r="C126" s="11" t="str">
        <x:v>Bảo vệ điện từ</x:v>
      </x:c>
      <x:c r="D126" s="11" t="str">
        <x:v>Triển khai theo tiêu chí: Tách cáp điện/tín hiệu; cách ly nguồn nhiễu; có tấm chắn điện từ cho khu vực máy chủ và thiết bị mạng quan trọng. Phương án phải được cấu hình, kiểm thử và gắn owner; không dùng thiết kế/tuyên bố thay bằng chứng vận hành.</x:v>
      </x:c>
      <x:c r="E126" s="11" t="str">
        <x:v>Chưa đánh giá</x:v>
      </x:c>
      <x:c r="F126" s="11" t="str">
        <x:v>Bao gồm bonding/earthing và khoảng cách tuyến cáp.</x:v>
      </x:c>
      <x:c r="G126" s="11" t="str">
        <x:v>Cabling layout; EMI assessment/measurement; inspection</x:v>
      </x:c>
      <x:c r="H126" s="11" t="str">
        <x:v>DC Ops/M&amp;E</x:v>
      </x:c>
      <x:c r="I126" s="11" t="str">
        <x:v>P1</x:v>
      </x:c>
      <x:c r="J126" s="11" t="str">
        <x:v>TCVN 14423 Phụ lục A.4.10</x:v>
      </x:c>
    </x:row>
    <x:row r="127" ht="74" customHeight="1">
      <x:c r="A127" s="10" t="str">
        <x:v>C4-DC-15</x:v>
      </x:c>
      <x:c r="B127" s="10" t="str">
        <x:v>Trung tâm dữ liệu</x:v>
      </x:c>
      <x:c r="C127" s="10" t="str">
        <x:v>Cáp và meet-me-room</x:v>
      </x:c>
      <x:c r="D127" s="10" t="str">
        <x:v>Triển khai theo tiêu chí: Cáp cấu trúc, nhãn hai đầu, quản lý patch, tuyến A/B tách biệt, MMR/carrier entry tách failure domain và spare capacity. Phương án phải được cấu hình, kiểm thử và gắn owner; không dùng thiết kế/tuyên bố thay bằng chứng vận hành.</x:v>
      </x:c>
      <x:c r="E127" s="10" t="str">
        <x:v>Chưa đánh giá</x:v>
      </x:c>
      <x:c r="F127" s="10" t="str">
        <x:v>Áp dụng TCVN 9250 hoặc chuẩn DC đã chọn trong phạm vi tuyên bố.</x:v>
      </x:c>
      <x:c r="G127" s="10" t="str">
        <x:v>Cable schedule; pathway drawing; OTDR/test results; MMR audit</x:v>
      </x:c>
      <x:c r="H127" s="10" t="str">
        <x:v>DC Ops/NetOps</x:v>
      </x:c>
      <x:c r="I127" s="10" t="str">
        <x:v>P1</x:v>
      </x:c>
      <x:c r="J127" s="10" t="str">
        <x:v>TT 42; TCVN 9250</x:v>
      </x:c>
    </x:row>
    <x:row r="128" ht="74" customHeight="1">
      <x:c r="A128" s="11" t="str">
        <x:v>C4-DC-16</x:v>
      </x:c>
      <x:c r="B128" s="11" t="str">
        <x:v>Trung tâm dữ liệu</x:v>
      </x:c>
      <x:c r="C128" s="11" t="str">
        <x:v>BMS/DCIM và cảnh báo</x:v>
      </x:c>
      <x:c r="D128" s="11" t="str">
        <x:v>Triển khai theo tiêu chí: Giám sát điện, UPS, PDU, nhiệt/ẩm, nước, cooling, cửa, camera, cháy, máy phát; đồng bộ NOC/SOC, lưu lịch sử và kiểm thử cảnh báo. Phương án phải được cấu hình, kiểm thử và gắn owner; không dùng thiết kế/tuyên bố thay bằng chứng vận hành.</x:v>
      </x:c>
      <x:c r="E128" s="11" t="str">
        <x:v>Chưa đánh giá</x:v>
      </x:c>
      <x:c r="F128" s="11" t="str">
        <x:v>Tách mạng OT/BMS khỏi tenant và management cloud; remote access qua PAM.</x:v>
      </x:c>
      <x:c r="G128" s="11" t="str">
        <x:v>BMS/DCIM dashboards; alarm matrix; test tickets; retention</x:v>
      </x:c>
      <x:c r="H128" s="11" t="str">
        <x:v>DC Ops/NOC</x:v>
      </x:c>
      <x:c r="I128" s="11" t="str">
        <x:v>P1</x:v>
      </x:c>
      <x:c r="J128" s="11" t="str">
        <x:v>TCVN 9250; TCVN 14423 Phụ lục A</x:v>
      </x:c>
    </x:row>
    <x:row r="129" ht="74" customHeight="1">
      <x:c r="A129" s="10" t="str">
        <x:v>C4-DC-17</x:v>
      </x:c>
      <x:c r="B129" s="10" t="str">
        <x:v>Trung tâm dữ liệu</x:v>
      </x:c>
      <x:c r="C129" s="10" t="str">
        <x:v>Bảo trì đồng thời và spare</x:v>
      </x:c>
      <x:c r="D129" s="10" t="str">
        <x:v>Triển khai theo tiêu chí: Quy trình bảo trì không làm mất service tier; MOP/SOP/EOP, permit-to-work, change, spare critical, rollback và giám sát nhà thầu. Phương án phải được cấu hình, kiểm thử và gắn owner; không dùng thiết kế/tuyên bố thay bằng chứng vận hành.</x:v>
      </x:c>
      <x:c r="E129" s="10" t="str">
        <x:v>Cần xác minh</x:v>
      </x:c>
      <x:c r="F129" s="10" t="str">
        <x:v>Uptime Tier III TCDD là bằng chứng thiết kế, chưa chứng minh cơ sở đã xây dựng/vận hành đúng thiết kế hoặc bảo trì đồng thời. Cần TCCF/current certification, MOP/SOP/EOP và kết quả test.</x:v>
      </x:c>
      <x:c r="G129" s="10" t="str">
        <x:v>MOP/SOP/EOP; maintenance test; spare inventory; RCA</x:v>
      </x:c>
      <x:c r="H129" s="10" t="str">
        <x:v>DC Ops/SRE</x:v>
      </x:c>
      <x:c r="I129" s="10" t="str">
        <x:v>P1</x:v>
      </x:c>
      <x:c r="J129" s="10" t="str">
        <x:v>Chuẩn DC đã chọn/ISO 22301</x:v>
      </x:c>
    </x:row>
    <x:row r="130" ht="76" customHeight="1">
      <x:c r="A130" s="11" t="str">
        <x:v>C4-DC-18</x:v>
      </x:c>
      <x:c r="B130" s="11" t="str">
        <x:v>Trung tâm dữ liệu</x:v>
      </x:c>
      <x:c r="C130" s="11" t="str">
        <x:v>DR site và khoảng cách rủi ro</x:v>
      </x:c>
      <x:c r="D130" s="11" t="str">
        <x:v>Triển khai theo tiêu chí: Thiết kế site DR/region độc lập về điện, carrier, rủi ro địa lý và quyền quản trị; replication phù hợp RPO; diễn tập chuyển đổi và failback. Phương án phải được cấu hình, kiểm thử và gắn owner; không dùng thiết kế/tuyên bố thay bằng chứng vận hành.</x:v>
      </x:c>
      <x:c r="E130" s="11" t="str">
        <x:v>Không đạt</x:v>
      </x:c>
      <x:c r="F130" s="11" t="str">
        <x:v>Kế hoạch hiện chỉ thể hiện một rack tại một DC; chưa có site DR độc lập.</x:v>
      </x:c>
      <x:c r="G130" s="11" t="str">
        <x:v>Site risk comparison; replication design; DR drill; achieved RPO/RTO</x:v>
      </x:c>
      <x:c r="H130" s="11" t="str">
        <x:v>BCM/Architecture</x:v>
      </x:c>
      <x:c r="I130" s="11" t="str">
        <x:v>P0</x:v>
      </x:c>
      <x:c r="J130" s="11" t="str">
        <x:v>Quản lý rủi ro/ISO 22301; dự thảo 5.7</x:v>
      </x:c>
    </x:row>
    <x:row r="131" ht="76" customHeight="1">
      <x:c r="A131" s="10" t="str">
        <x:v>C4-OPS-01</x:v>
      </x:c>
      <x:c r="B131" s="10" t="str">
        <x:v>Vận hành dịch vụ cloud</x:v>
      </x:c>
      <x:c r="C131" s="10" t="str">
        <x:v>Service catalog và tier</x:v>
      </x:c>
      <x:c r="D131" s="10" t="str">
        <x:v>Triển khai theo tiêu chí: Mỗi dịch vụ/gói nêu rõ HA, AZ, storage, backup, encryption, support, quota, SLA, RPO/RTO và trách nhiệm khách hàng; không bán HA khi backend không hỗ trợ. Phương án phải được cấu hình, kiểm thử và gắn owner; không dùng thiết kế/tuyên bố thay bằng chứng vận hành.</x:v>
      </x:c>
      <x:c r="E131" s="10" t="str">
        <x:v>Chưa đánh giá</x:v>
      </x:c>
      <x:c r="F131" s="10" t="str">
        <x:v>Tách rõ local-LVM volume không HA nếu chưa thay backend.</x:v>
      </x:c>
      <x:c r="G131" s="10" t="str">
        <x:v>Service catalog; architecture-to-SLA mapping; approval</x:v>
      </x:c>
      <x:c r="H131" s="10" t="str">
        <x:v>Product/Architecture</x:v>
      </x:c>
      <x:c r="I131" s="10" t="str">
        <x:v>P0</x:v>
      </x:c>
      <x:c r="J131" s="10" t="str">
        <x:v>Luật VT; hợp đồng; quản lý rủi ro</x:v>
      </x:c>
    </x:row>
    <x:row r="132" ht="76" customHeight="1">
      <x:c r="A132" s="11" t="str">
        <x:v>C4-OPS-02</x:v>
      </x:c>
      <x:c r="B132" s="11" t="str">
        <x:v>Vận hành dịch vụ cloud</x:v>
      </x:c>
      <x:c r="C132" s="11" t="str">
        <x:v>Onboarding tenant</x:v>
      </x:c>
      <x:c r="D132" s="11" t="str">
        <x:v>Triển khai theo tiêu chí: Xác minh khách hàng, tạo domain/project, quota, network baseline, MFA/admin, contact, data classification và acceptance của trách nhiệm chung. Phương án phải được cấu hình, kiểm thử và gắn owner; không dùng thiết kế/tuyên bố thay bằng chứng vận hành.</x:v>
      </x:c>
      <x:c r="E132" s="11" t="str">
        <x:v>Chưa đánh giá</x:v>
      </x:c>
      <x:c r="F132" s="11" t="str">
        <x:v>Không dùng security group mở toàn bộ làm mặc định.</x:v>
      </x:c>
      <x:c r="G132" s="11" t="str">
        <x:v>Onboarding checklist; approved tenant baseline; contact/consent</x:v>
      </x:c>
      <x:c r="H132" s="11" t="str">
        <x:v>Cloud Ops/Product</x:v>
      </x:c>
      <x:c r="I132" s="11" t="str">
        <x:v>P1</x:v>
      </x:c>
      <x:c r="J132" s="11" t="str">
        <x:v>NĐ 331/TCVN 14423/hợp đồng</x:v>
      </x:c>
    </x:row>
    <x:row r="133" ht="74" customHeight="1">
      <x:c r="A133" s="10" t="str">
        <x:v>C4-OPS-03</x:v>
      </x:c>
      <x:c r="B133" s="10" t="str">
        <x:v>Vận hành dịch vụ cloud</x:v>
      </x:c>
      <x:c r="C133" s="10" t="str">
        <x:v>Offboarding và data exit</x:v>
      </x:c>
      <x:c r="D133" s="10" t="str">
        <x:v>Triển khai theo tiêu chí: Cho phép export ở định dạng sử dụng được; xác minh owner; thu hồi quyền/route/IP/key; xóa an toàn và cấp bằng chứng sau retention. Phương án phải được cấu hình, kiểm thử và gắn owner; không dùng thiết kế/tuyên bố thay bằng chứng vận hành.</x:v>
      </x:c>
      <x:c r="E133" s="10" t="str">
        <x:v>Chưa đánh giá</x:v>
      </x:c>
      <x:c r="F133" s="10" t="str">
        <x:v>Bao gồm snapshot, image, object, log hỗ trợ, billing record và backup.</x:v>
      </x:c>
      <x:c r="G133" s="10" t="str">
        <x:v>Exit checklist; export/restore test; deletion certificate</x:v>
      </x:c>
      <x:c r="H133" s="10" t="str">
        <x:v>Cloud Ops/DPO</x:v>
      </x:c>
      <x:c r="I133" s="10" t="str">
        <x:v>P0</x:v>
      </x:c>
      <x:c r="J133" s="10" t="str">
        <x:v>Luật VT/PDP; dự thảo 4.2.7, 5.11</x:v>
      </x:c>
    </x:row>
    <x:row r="134" ht="76" customHeight="1">
      <x:c r="A134" s="11" t="str">
        <x:v>C4-OPS-04</x:v>
      </x:c>
      <x:c r="B134" s="11" t="str">
        <x:v>Vận hành dịch vụ cloud</x:v>
      </x:c>
      <x:c r="C134" s="11" t="str">
        <x:v>Change/release management</x:v>
      </x:c>
      <x:c r="D134" s="11" t="str">
        <x:v>Triển khai theo tiêu chí: Phân loại thay đổi, đánh giá tác động tenant/cấp độ, phê duyệt, canary/rolling, thông báo bảo trì, rollback và post-change validation. Phương án phải được cấu hình, kiểm thử và gắn owner; không dùng thiết kế/tuyên bố thay bằng chứng vận hành.</x:v>
      </x:c>
      <x:c r="E134" s="11" t="str">
        <x:v>Chưa đánh giá</x:v>
      </x:c>
      <x:c r="F134" s="11" t="str">
        <x:v>Thay đổi network/storage/identity/key phải có kiểm soát chéo.</x:v>
      </x:c>
      <x:c r="G134" s="11" t="str">
        <x:v>Change tickets; CAB; deployment/rollback logs; status notice</x:v>
      </x:c>
      <x:c r="H134" s="11" t="str">
        <x:v>SRE/Platform</x:v>
      </x:c>
      <x:c r="I134" s="11" t="str">
        <x:v>P0</x:v>
      </x:c>
      <x:c r="J134" s="11" t="str">
        <x:v>TCVN 14423:6.5; dự thảo 4.2.8</x:v>
      </x:c>
    </x:row>
    <x:row r="135" ht="76" customHeight="1">
      <x:c r="A135" s="10" t="str">
        <x:v>C4-OPS-05</x:v>
      </x:c>
      <x:c r="B135" s="10" t="str">
        <x:v>Vận hành dịch vụ cloud</x:v>
      </x:c>
      <x:c r="C135" s="10" t="str">
        <x:v>Capacity và headroom N+1</x:v>
      </x:c>
      <x:c r="D135" s="10" t="str">
        <x:v>Triển khai theo tiêu chí: Tính công suất CPU/RAM/storage/IOPS/network/power/cooling ở failure state; dự báo tăng trưởng, đặt ngưỡng mua sắm và kiểm thử overload có kiểm soát. Phương án phải được cấu hình, kiểm thử và gắn owner; không dùng thiết kế/tuyên bố thay bằng chứng vận hành.</x:v>
      </x:c>
      <x:c r="E135" s="10" t="str">
        <x:v>Đang thực hiện</x:v>
      </x:c>
      <x:c r="F135" s="10" t="str">
        <x:v>BOM V4 có 09 server với 2.304 GB RAM theo vai trò, Ceph 19,2 TB raw và SAN 14,4 TB raw. Chưa có headroom N+1, usable/IOPS/rebuild, network placement và power measured. Không dùng định giá 10 server hoặc băng thông bond tổng làm năng lực đã nghiệm thu.</x:v>
      </x:c>
      <x:c r="G135" s="10" t="str">
        <x:v>Capacity model; N+1 calculations; forecast; procurement trigger</x:v>
      </x:c>
      <x:c r="H135" s="10" t="str">
        <x:v>SRE/FinOps/DC Ops</x:v>
      </x:c>
      <x:c r="I135" s="10" t="str">
        <x:v>P0</x:v>
      </x:c>
      <x:c r="J135" s="10" t="str">
        <x:v>Khả dụng/rủi ro; dự thảo 4.2.8</x:v>
      </x:c>
    </x:row>
    <x:row r="136" ht="74" customHeight="1">
      <x:c r="A136" s="11" t="str">
        <x:v>C4-OPS-06</x:v>
      </x:c>
      <x:c r="B136" s="11" t="str">
        <x:v>Vận hành dịch vụ cloud</x:v>
      </x:c>
      <x:c r="C136" s="11" t="str">
        <x:v>Status page và truyền thông sự cố</x:v>
      </x:c>
      <x:c r="D136" s="11" t="str">
        <x:v>Triển khai theo tiêu chí: Status page tách độc lập; template/mốc thông báo; đồng bộ giữa NOC/SOC/support/legal; post-incident report và SLA credit. Phương án phải được cấu hình, kiểm thử và gắn owner; không dùng thiết kế/tuyên bố thay bằng chứng vận hành.</x:v>
      </x:c>
      <x:c r="E136" s="11" t="str">
        <x:v>Chưa đánh giá</x:v>
      </x:c>
      <x:c r="F136" s="11" t="str">
        <x:v>Không để kênh thông báo phụ thuộc vào cloud đang sự cố.</x:v>
      </x:c>
      <x:c r="G136" s="11" t="str">
        <x:v>Status page; communication matrix; incident sample; PIR</x:v>
      </x:c>
      <x:c r="H136" s="11" t="str">
        <x:v>Support/SRE/Legal</x:v>
      </x:c>
      <x:c r="I136" s="11" t="str">
        <x:v>P1</x:v>
      </x:c>
      <x:c r="J136" s="11" t="str">
        <x:v>Luật VT/NĐ 333; SLA</x:v>
      </x:c>
    </x:row>
    <x:row r="137" ht="76" customHeight="1">
      <x:c r="A137" s="10" t="str">
        <x:v>C4-OPS-07</x:v>
      </x:c>
      <x:c r="B137" s="10" t="str">
        <x:v>Vận hành dịch vụ cloud</x:v>
      </x:c>
      <x:c r="C137" s="10" t="str">
        <x:v>Đánh giá độc lập trước go-live</x:v>
      </x:c>
      <x:c r="D137" s="10" t="str">
        <x:v>Triển khai theo tiêu chí: Thực hiện kiểm tra cấu hình, vulnerability, pentest, failover, restore, DC, privacy, pháp lý và hồ sơ cấp độ; P0 phải đóng hoặc được chấp thuận đúng thẩm quyền. Phương án phải được cấu hình, kiểm thử và gắn owner; không dùng thiết kế/tuyên bố thay bằng chứng vận hành.</x:v>
      </x:c>
      <x:c r="E137" s="10" t="str">
        <x:v>Chưa đánh giá</x:v>
      </x:c>
      <x:c r="F137" s="10" t="str">
        <x:v>Nghiệm thu bằng bằng chứng thực thi, không chỉ tài liệu thiết kế.</x:v>
      </x:c>
      <x:c r="G137" s="10" t="str">
        <x:v>Go-live gate; test pack; residual-risk acceptance; approval</x:v>
      </x:c>
      <x:c r="H137" s="10" t="str">
        <x:v>CISO/CTO/GRC</x:v>
      </x:c>
      <x:c r="I137" s="10" t="str">
        <x:v>P0</x:v>
      </x:c>
      <x:c r="J137" s="10" t="str">
        <x:v>NĐ 331; TCVN 14423</x:v>
      </x:c>
    </x:row>
  </x:sheetData>
  <x:pageMargins left="0.7" right="0.7" top="0.75" bottom="0.75" header="0.3" footer="0.3"/>
  <x:tableParts count="1">
    <x:tablePart xmlns:r="http://schemas.openxmlformats.org/officeDocument/2006/relationships" r:id="R96142f71b1a64ddf"/>
  </x:tableParts>
</x:worksheet>
</file>